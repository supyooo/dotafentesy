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вод" sheetId="1" state="visible" r:id="rId3"/>
    <sheet name="Группы" sheetId="2" state="visible" r:id="rId4"/>
    <sheet name="Прогноз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Целевое распределение игроков по лигам. Плавающие зоны тянут лестницу к нему. Значения — предложение, не данные.</t>
        </r>
      </text>
    </comment>
    <comment ref="D4" authorId="0">
      <text>
        <r>
          <rPr>
            <sz val="10"/>
            <rFont val="Arial"/>
            <family val="2"/>
          </rPr>
          <t xml:space="preserve">Из таблицы калибровки в документе: ниже 30-го процентиля — Herald, 30–49 — Guardian, 50–69 — Crusader, 70–84 — Archon, 85+ — Legend.</t>
        </r>
      </text>
    </comment>
  </commentList>
</comments>
</file>

<file path=xl/sharedStrings.xml><?xml version="1.0" encoding="utf-8"?>
<sst xmlns="http://schemas.openxmlformats.org/spreadsheetml/2006/main" count="111" uniqueCount="91">
  <si>
    <t xml:space="preserve">Модель лиг — ввод</t>
  </si>
  <si>
    <t xml:space="preserve">Меняй только жёлтые ячейки с синим текстом. Остальные листы пересчитаются сами.</t>
  </si>
  <si>
    <t xml:space="preserve">Пример заполнения: внизу лестницы людей много, в Divine 7, в Immortal 3 — случай «верхние лиги почти пустые».</t>
  </si>
  <si>
    <t xml:space="preserve">Лига</t>
  </si>
  <si>
    <t xml:space="preserve">Активных игроков</t>
  </si>
  <si>
    <t xml:space="preserve">Целевая доля</t>
  </si>
  <si>
    <t xml:space="preserve">Доля новичков при калибровке</t>
  </si>
  <si>
    <t xml:space="preserve">Herald</t>
  </si>
  <si>
    <t xml:space="preserve">Guardian</t>
  </si>
  <si>
    <t xml:space="preserve">Crusader</t>
  </si>
  <si>
    <t xml:space="preserve">Archon</t>
  </si>
  <si>
    <t xml:space="preserve">Legend</t>
  </si>
  <si>
    <t xml:space="preserve">Ancient</t>
  </si>
  <si>
    <t xml:space="preserve">Divine</t>
  </si>
  <si>
    <t xml:space="preserve">Immortal</t>
  </si>
  <si>
    <t xml:space="preserve">Итого</t>
  </si>
  <si>
    <t xml:space="preserve">Параметры</t>
  </si>
  <si>
    <t xml:space="preserve">Размер группы (цель)</t>
  </si>
  <si>
    <t xml:space="preserve">Группы делятся поровну, число групп = округлить(игроков / 30).</t>
  </si>
  <si>
    <t xml:space="preserve">Минимум игроков, чтобы лига играла своими группами</t>
  </si>
  <si>
    <t xml:space="preserve">Меньше — лига играет в сводной таблице с соседней лигой ниже.</t>
  </si>
  <si>
    <t xml:space="preserve">Базовая зона повышения / вылета</t>
  </si>
  <si>
    <t xml:space="preserve">Зона при точном попадании лиги в целевую долю.</t>
  </si>
  <si>
    <t xml:space="preserve">Минимальная зона</t>
  </si>
  <si>
    <t xml:space="preserve">Максимальная зона</t>
  </si>
  <si>
    <t xml:space="preserve">Чувствительность: сдвиг зоны при 100% недоборе</t>
  </si>
  <si>
    <t xml:space="preserve">Лига пустая (недобор 100%) — зона в неё шире на это значение. Переполнена вдвое — уже на столько же.</t>
  </si>
  <si>
    <t xml:space="preserve">Immortal: минимум игроков для вылета</t>
  </si>
  <si>
    <t xml:space="preserve">Меньше — из Immortal никто не вылетает.</t>
  </si>
  <si>
    <t xml:space="preserve">Новичков за раунд (для прогноза)</t>
  </si>
  <si>
    <t xml:space="preserve">Распределяются по лигам по калибровке.</t>
  </si>
  <si>
    <t xml:space="preserve">Отток за раунд (для прогноза)</t>
  </si>
  <si>
    <t xml:space="preserve">Доля игроков каждой лиги, которые не вернулись.</t>
  </si>
  <si>
    <t xml:space="preserve">Раунд по введённым числам: таблицы, группы, зоны</t>
  </si>
  <si>
    <t xml:space="preserve">Жёлтые строки — лиги в сводной таблице (в лиге меньше минимума). Перемещения — ожидаемые: считаем, что игроки каждой лиги распределены по таблице равномерно.</t>
  </si>
  <si>
    <t xml:space="preserve">Активных</t>
  </si>
  <si>
    <t xml:space="preserve">Доля факт</t>
  </si>
  <si>
    <t xml:space="preserve">Цель</t>
  </si>
  <si>
    <t xml:space="preserve">Недобор</t>
  </si>
  <si>
    <t xml:space="preserve">Накопл. (служ.)</t>
  </si>
  <si>
    <t xml:space="preserve">Пул (служ.)</t>
  </si>
  <si>
    <t xml:space="preserve">Таблица №</t>
  </si>
  <si>
    <t xml:space="preserve">Играет вместе с</t>
  </si>
  <si>
    <t xml:space="preserve">Игроков в таблице</t>
  </si>
  <si>
    <t xml:space="preserve">Групп</t>
  </si>
  <si>
    <t xml:space="preserve">Размеры групп</t>
  </si>
  <si>
    <t xml:space="preserve">Зона повышения</t>
  </si>
  <si>
    <t xml:space="preserve">Зона вылета</t>
  </si>
  <si>
    <t xml:space="preserve">В каждой группе</t>
  </si>
  <si>
    <t xml:space="preserve">Поднимутся (ожид.)</t>
  </si>
  <si>
    <t xml:space="preserve">Опустятся (ожид.)</t>
  </si>
  <si>
    <t xml:space="preserve">В следующем раунде</t>
  </si>
  <si>
    <t xml:space="preserve">—</t>
  </si>
  <si>
    <t xml:space="preserve">одна общая таблица</t>
  </si>
  <si>
    <t xml:space="preserve">Как читать</t>
  </si>
  <si>
    <t xml:space="preserve">Недобор &gt; 0 — в лиге меньше людей, чем по цели: зона повышения в неё шире, зона вылета из неё уже.</t>
  </si>
  <si>
    <t xml:space="preserve">Таблица № — лиги с одинаковым номером играют в одной сводной таблице; каждый игрок остаётся в своей лиге.</t>
  </si>
  <si>
    <t xml:space="preserve">Сводная таблица собирается снизу вверх: лиги копятся, пока не наберётся минимум; остаток сверху прилипает к таблице ниже.</t>
  </si>
  <si>
    <t xml:space="preserve">«В каждой группе» — сколько мест в зонах повышения и вылета в одной группе этой таблицы (округление вниз).</t>
  </si>
  <si>
    <t xml:space="preserve">«В следующем раунде» — без новичков и оттока; с ними — лист «Прогноз».</t>
  </si>
  <si>
    <t xml:space="preserve">Прогноз на 12 раундов</t>
  </si>
  <si>
    <t xml:space="preserve">Раунд 1 = ввод. Дальше: перемещения по зонам → отток → новички по калибровке. Числа ожидаемые (дробные), показаны округлёнными.</t>
  </si>
  <si>
    <t xml:space="preserve">Служебные колонки: недобор и зоны каждого раунда</t>
  </si>
  <si>
    <t xml:space="preserve">Раунд</t>
  </si>
  <si>
    <t xml:space="preserve">Всего</t>
  </si>
  <si>
    <t xml:space="preserve">Недобор Herald</t>
  </si>
  <si>
    <t xml:space="preserve">Недобор Guardian</t>
  </si>
  <si>
    <t xml:space="preserve">Недобор Crusader</t>
  </si>
  <si>
    <t xml:space="preserve">Недобор Archon</t>
  </si>
  <si>
    <t xml:space="preserve">Недобор Legend</t>
  </si>
  <si>
    <t xml:space="preserve">Недобор Ancient</t>
  </si>
  <si>
    <t xml:space="preserve">Недобор Divine</t>
  </si>
  <si>
    <t xml:space="preserve">Недобор Immortal</t>
  </si>
  <si>
    <t xml:space="preserve">Вверх % Herald</t>
  </si>
  <si>
    <t xml:space="preserve">Вверх % Guardian</t>
  </si>
  <si>
    <t xml:space="preserve">Вверх % Crusader</t>
  </si>
  <si>
    <t xml:space="preserve">Вверх % Archon</t>
  </si>
  <si>
    <t xml:space="preserve">Вверх % Legend</t>
  </si>
  <si>
    <t xml:space="preserve">Вверх % Ancient</t>
  </si>
  <si>
    <t xml:space="preserve">Вверх % Divine</t>
  </si>
  <si>
    <t xml:space="preserve">Вниз % Guardian</t>
  </si>
  <si>
    <t xml:space="preserve">Вниз % Crusader</t>
  </si>
  <si>
    <t xml:space="preserve">Вниз % Archon</t>
  </si>
  <si>
    <t xml:space="preserve">Вниз % Legend</t>
  </si>
  <si>
    <t xml:space="preserve">Вниз % Ancient</t>
  </si>
  <si>
    <t xml:space="preserve">Вниз % Divine</t>
  </si>
  <si>
    <t xml:space="preserve">Вниз % Immortal</t>
  </si>
  <si>
    <t xml:space="preserve">Раунд 12: факт против цели</t>
  </si>
  <si>
    <t xml:space="preserve">Игроков</t>
  </si>
  <si>
    <t xml:space="preserve">Доля</t>
  </si>
  <si>
    <t xml:space="preserve">Отклонение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</si>
</sst>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0.0%"/>
    <numFmt numFmtId="168" formatCode="0%;\-0%;0%"/>
    <numFmt numFmtId="169" formatCode="0.0"/>
    <numFmt numFmtId="170" formatCode="\+0.0%;\-0.0%;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7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4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6DA7EC"/>
      <rgbColor rgb="FF993366"/>
      <rgbColor rgb="FFFFF4CC"/>
      <rgbColor rgb="FFE8EEF7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6B6E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66"/>
      <rgbColor rgb="FF5598E7"/>
      <rgbColor rgb="FF0D366B"/>
      <rgbColor rgb="FF3987E5"/>
      <rgbColor rgb="FF003300"/>
      <rgbColor rgb="FF333300"/>
      <rgbColor rgb="FF993300"/>
      <rgbColor rgb="FF993366"/>
      <rgbColor rgb="FF1042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Распределение по лигам, раунды 1–12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Прогноз!B4</c:f>
              <c:strCache>
                <c:ptCount val="1"/>
                <c:pt idx="0">
                  <c:v>Herald</c:v>
                </c:pt>
              </c:strCache>
            </c:strRef>
          </c:tx>
          <c:spPr>
            <a:solidFill>
              <a:srgbClr val="86b6ef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Прогноз!$A$5:$A$16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Прогноз!$B$5:$B$16</c:f>
              <c:numCache>
                <c:formatCode>0</c:formatCode>
                <c:ptCount val="12"/>
                <c:pt idx="0">
                  <c:v>30</c:v>
                </c:pt>
                <c:pt idx="1">
                  <c:v>47.0716216216216</c:v>
                </c:pt>
                <c:pt idx="2">
                  <c:v>61.4602032103404</c:v>
                </c:pt>
                <c:pt idx="3">
                  <c:v>71.8447369834379</c:v>
                </c:pt>
                <c:pt idx="4">
                  <c:v>79.9607165503446</c:v>
                </c:pt>
                <c:pt idx="5">
                  <c:v>86.5392420608586</c:v>
                </c:pt>
                <c:pt idx="6">
                  <c:v>91.9933136919614</c:v>
                </c:pt>
                <c:pt idx="7">
                  <c:v>96.5732520328759</c:v>
                </c:pt>
                <c:pt idx="8">
                  <c:v>100.449145326988</c:v>
                </c:pt>
                <c:pt idx="9">
                  <c:v>103.745327500824</c:v>
                </c:pt>
                <c:pt idx="10">
                  <c:v>106.557513333416</c:v>
                </c:pt>
                <c:pt idx="11">
                  <c:v>108.96195184698</c:v>
                </c:pt>
              </c:numCache>
            </c:numRef>
          </c:val>
        </c:ser>
        <c:ser>
          <c:idx val="1"/>
          <c:order val="1"/>
          <c:tx>
            <c:strRef>
              <c:f>Прогноз!C4</c:f>
              <c:strCache>
                <c:ptCount val="1"/>
                <c:pt idx="0">
                  <c:v>Guardian</c:v>
                </c:pt>
              </c:strCache>
            </c:strRef>
          </c:tx>
          <c:spPr>
            <a:solidFill>
              <a:srgbClr val="6da7ec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Прогноз!$A$5:$A$16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Прогноз!$C$5:$C$16</c:f>
              <c:numCache>
                <c:formatCode>0</c:formatCode>
                <c:ptCount val="12"/>
                <c:pt idx="0">
                  <c:v>45</c:v>
                </c:pt>
                <c:pt idx="1">
                  <c:v>51.4486486486486</c:v>
                </c:pt>
                <c:pt idx="2">
                  <c:v>53.2419856338687</c:v>
                </c:pt>
                <c:pt idx="3">
                  <c:v>56.4583839294561</c:v>
                </c:pt>
                <c:pt idx="4">
                  <c:v>59.7852473117023</c:v>
                </c:pt>
                <c:pt idx="5">
                  <c:v>62.9416555415045</c:v>
                </c:pt>
                <c:pt idx="6">
                  <c:v>65.8223887597403</c:v>
                </c:pt>
                <c:pt idx="7">
                  <c:v>68.4115443266605</c:v>
                </c:pt>
                <c:pt idx="8">
                  <c:v>70.7218414441192</c:v>
                </c:pt>
                <c:pt idx="9">
                  <c:v>72.7759444209976</c:v>
                </c:pt>
                <c:pt idx="10">
                  <c:v>74.5988561445519</c:v>
                </c:pt>
                <c:pt idx="11">
                  <c:v>76.2149795474595</c:v>
                </c:pt>
              </c:numCache>
            </c:numRef>
          </c:val>
        </c:ser>
        <c:ser>
          <c:idx val="2"/>
          <c:order val="2"/>
          <c:tx>
            <c:strRef>
              <c:f>Прогноз!D4</c:f>
              <c:strCache>
                <c:ptCount val="1"/>
                <c:pt idx="0">
                  <c:v>Crusader</c:v>
                </c:pt>
              </c:strCache>
            </c:strRef>
          </c:tx>
          <c:spPr>
            <a:solidFill>
              <a:srgbClr val="5598e7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Прогноз!$A$5:$A$16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Прогноз!$D$5:$D$16</c:f>
              <c:numCache>
                <c:formatCode>0</c:formatCode>
                <c:ptCount val="12"/>
                <c:pt idx="0">
                  <c:v>60</c:v>
                </c:pt>
                <c:pt idx="1">
                  <c:v>53.4878378378378</c:v>
                </c:pt>
                <c:pt idx="2">
                  <c:v>54.2933355550035</c:v>
                </c:pt>
                <c:pt idx="3">
                  <c:v>55.842889251314</c:v>
                </c:pt>
                <c:pt idx="4">
                  <c:v>57.8589983089348</c:v>
                </c:pt>
                <c:pt idx="5">
                  <c:v>59.9800238738432</c:v>
                </c:pt>
                <c:pt idx="6">
                  <c:v>62.0565093229629</c:v>
                </c:pt>
                <c:pt idx="7">
                  <c:v>64.0176998079011</c:v>
                </c:pt>
                <c:pt idx="8">
                  <c:v>65.8351789571672</c:v>
                </c:pt>
                <c:pt idx="9">
                  <c:v>67.5011126080816</c:v>
                </c:pt>
                <c:pt idx="10">
                  <c:v>69.0178934230118</c:v>
                </c:pt>
                <c:pt idx="11">
                  <c:v>70.3928828551152</c:v>
                </c:pt>
              </c:numCache>
            </c:numRef>
          </c:val>
        </c:ser>
        <c:ser>
          <c:idx val="3"/>
          <c:order val="3"/>
          <c:tx>
            <c:strRef>
              <c:f>Прогноз!E4</c:f>
              <c:strCache>
                <c:ptCount val="1"/>
                <c:pt idx="0">
                  <c:v>Archon</c:v>
                </c:pt>
              </c:strCache>
            </c:strRef>
          </c:tx>
          <c:spPr>
            <a:solidFill>
              <a:srgbClr val="3987e5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Прогноз!$A$5:$A$16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Прогноз!$E$5:$E$16</c:f>
              <c:numCache>
                <c:formatCode>0</c:formatCode>
                <c:ptCount val="12"/>
                <c:pt idx="0">
                  <c:v>40</c:v>
                </c:pt>
                <c:pt idx="1">
                  <c:v>43.8337837837838</c:v>
                </c:pt>
                <c:pt idx="2">
                  <c:v>46.0453287850149</c:v>
                </c:pt>
                <c:pt idx="3">
                  <c:v>48.2732771313017</c:v>
                </c:pt>
                <c:pt idx="4">
                  <c:v>50.3099039408258</c:v>
                </c:pt>
                <c:pt idx="5">
                  <c:v>52.2249937799779</c:v>
                </c:pt>
                <c:pt idx="6">
                  <c:v>54.0221543311954</c:v>
                </c:pt>
                <c:pt idx="7">
                  <c:v>55.7002736422842</c:v>
                </c:pt>
                <c:pt idx="8">
                  <c:v>57.2578692811737</c:v>
                </c:pt>
                <c:pt idx="9">
                  <c:v>58.6959284923498</c:v>
                </c:pt>
                <c:pt idx="10">
                  <c:v>60.0178557632211</c:v>
                </c:pt>
                <c:pt idx="11">
                  <c:v>61.2288500885892</c:v>
                </c:pt>
              </c:numCache>
            </c:numRef>
          </c:val>
        </c:ser>
        <c:ser>
          <c:idx val="4"/>
          <c:order val="4"/>
          <c:tx>
            <c:strRef>
              <c:f>Прогноз!F4</c:f>
              <c:strCache>
                <c:ptCount val="1"/>
                <c:pt idx="0">
                  <c:v>Legend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Прогноз!$A$5:$A$16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Прогноз!$F$5:$F$16</c:f>
              <c:numCache>
                <c:formatCode>0</c:formatCode>
                <c:ptCount val="12"/>
                <c:pt idx="0">
                  <c:v>25</c:v>
                </c:pt>
                <c:pt idx="1">
                  <c:v>30.2881081081081</c:v>
                </c:pt>
                <c:pt idx="2">
                  <c:v>33.4462701149963</c:v>
                </c:pt>
                <c:pt idx="3">
                  <c:v>35.7269114079739</c:v>
                </c:pt>
                <c:pt idx="4">
                  <c:v>37.6544317253762</c:v>
                </c:pt>
                <c:pt idx="5">
                  <c:v>39.3454273311018</c:v>
                </c:pt>
                <c:pt idx="6">
                  <c:v>40.8692207101437</c:v>
                </c:pt>
                <c:pt idx="7">
                  <c:v>42.2592663345965</c:v>
                </c:pt>
                <c:pt idx="8">
                  <c:v>43.5341221822209</c:v>
                </c:pt>
                <c:pt idx="9">
                  <c:v>44.7054171723836</c:v>
                </c:pt>
                <c:pt idx="10">
                  <c:v>45.7816742624703</c:v>
                </c:pt>
                <c:pt idx="11">
                  <c:v>46.7699849507057</c:v>
                </c:pt>
              </c:numCache>
            </c:numRef>
          </c:val>
        </c:ser>
        <c:ser>
          <c:idx val="5"/>
          <c:order val="5"/>
          <c:tx>
            <c:strRef>
              <c:f>Прогноз!G4</c:f>
              <c:strCache>
                <c:ptCount val="1"/>
                <c:pt idx="0">
                  <c:v>Ancient</c:v>
                </c:pt>
              </c:strCache>
            </c:strRef>
          </c:tx>
          <c:spPr>
            <a:solidFill>
              <a:srgbClr val="1c5cab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Прогноз!$A$5:$A$16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Прогноз!$G$5:$G$16</c:f>
              <c:numCache>
                <c:formatCode>0</c:formatCode>
                <c:ptCount val="12"/>
                <c:pt idx="0">
                  <c:v>12</c:v>
                </c:pt>
                <c:pt idx="1">
                  <c:v>12.8302702702703</c:v>
                </c:pt>
                <c:pt idx="2">
                  <c:v>14.3521251952788</c:v>
                </c:pt>
                <c:pt idx="3">
                  <c:v>15.792318526439</c:v>
                </c:pt>
                <c:pt idx="4">
                  <c:v>17.0777241975702</c:v>
                </c:pt>
                <c:pt idx="5">
                  <c:v>18.2477611506882</c:v>
                </c:pt>
                <c:pt idx="6">
                  <c:v>19.3188959102484</c:v>
                </c:pt>
                <c:pt idx="7">
                  <c:v>20.3043796969403</c:v>
                </c:pt>
                <c:pt idx="8">
                  <c:v>21.2139358513934</c:v>
                </c:pt>
                <c:pt idx="9">
                  <c:v>22.0549867201546</c:v>
                </c:pt>
                <c:pt idx="10">
                  <c:v>22.8333949096241</c:v>
                </c:pt>
                <c:pt idx="11">
                  <c:v>23.5539943294359</c:v>
                </c:pt>
              </c:numCache>
            </c:numRef>
          </c:val>
        </c:ser>
        <c:ser>
          <c:idx val="6"/>
          <c:order val="6"/>
          <c:tx>
            <c:strRef>
              <c:f>Прогноз!H4</c:f>
              <c:strCache>
                <c:ptCount val="1"/>
                <c:pt idx="0">
                  <c:v>Divine</c:v>
                </c:pt>
              </c:strCache>
            </c:strRef>
          </c:tx>
          <c:spPr>
            <a:solidFill>
              <a:srgbClr val="104281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Прогноз!$A$5:$A$16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Прогноз!$H$5:$H$16</c:f>
              <c:numCache>
                <c:formatCode>0</c:formatCode>
                <c:ptCount val="12"/>
                <c:pt idx="0">
                  <c:v>7</c:v>
                </c:pt>
                <c:pt idx="1">
                  <c:v>6.53351351351351</c:v>
                </c:pt>
                <c:pt idx="2">
                  <c:v>6.67899523392062</c:v>
                </c:pt>
                <c:pt idx="3">
                  <c:v>7.21112175180484</c:v>
                </c:pt>
                <c:pt idx="4">
                  <c:v>7.89089560102201</c:v>
                </c:pt>
                <c:pt idx="5">
                  <c:v>8.60116696296329</c:v>
                </c:pt>
                <c:pt idx="6">
                  <c:v>9.29929702301801</c:v>
                </c:pt>
                <c:pt idx="7">
                  <c:v>9.96945686713043</c:v>
                </c:pt>
                <c:pt idx="8">
                  <c:v>10.6068129110036</c:v>
                </c:pt>
                <c:pt idx="9">
                  <c:v>11.2106156831554</c:v>
                </c:pt>
                <c:pt idx="10">
                  <c:v>11.7814859153772</c:v>
                </c:pt>
                <c:pt idx="11">
                  <c:v>12.3204043482438</c:v>
                </c:pt>
              </c:numCache>
            </c:numRef>
          </c:val>
        </c:ser>
        <c:ser>
          <c:idx val="7"/>
          <c:order val="7"/>
          <c:tx>
            <c:strRef>
              <c:f>Прогноз!I4</c:f>
              <c:strCache>
                <c:ptCount val="1"/>
                <c:pt idx="0">
                  <c:v>Immortal</c:v>
                </c:pt>
              </c:strCache>
            </c:strRef>
          </c:tx>
          <c:spPr>
            <a:solidFill>
              <a:srgbClr val="0d366b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Прогноз!$A$5:$A$16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Прогноз!$I$5:$I$16</c:f>
              <c:numCache>
                <c:formatCode>0</c:formatCode>
                <c:ptCount val="12"/>
                <c:pt idx="0">
                  <c:v>3</c:v>
                </c:pt>
                <c:pt idx="1">
                  <c:v>4.30621621621622</c:v>
                </c:pt>
                <c:pt idx="2">
                  <c:v>5.3017562715768</c:v>
                </c:pt>
                <c:pt idx="3">
                  <c:v>6.18836101827265</c:v>
                </c:pt>
                <c:pt idx="4">
                  <c:v>7.06628236422413</c:v>
                </c:pt>
                <c:pt idx="5">
                  <c:v>7.9635092990625</c:v>
                </c:pt>
                <c:pt idx="6">
                  <c:v>8.87762225072997</c:v>
                </c:pt>
                <c:pt idx="7">
                  <c:v>9.79758909161126</c:v>
                </c:pt>
                <c:pt idx="8">
                  <c:v>10.7112096659343</c:v>
                </c:pt>
                <c:pt idx="9">
                  <c:v>11.6077714600531</c:v>
                </c:pt>
                <c:pt idx="10">
                  <c:v>12.4787199005281</c:v>
                </c:pt>
                <c:pt idx="11">
                  <c:v>13.3176063204505</c:v>
                </c:pt>
              </c:numCache>
            </c:numRef>
          </c:val>
        </c:ser>
        <c:gapWidth val="40"/>
        <c:overlap val="100"/>
        <c:axId val="12185962"/>
        <c:axId val="83428722"/>
      </c:barChart>
      <c:catAx>
        <c:axId val="12185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Раунд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28722"/>
        <c:crosses val="autoZero"/>
        <c:auto val="1"/>
        <c:lblAlgn val="ctr"/>
        <c:lblOffset val="100"/>
        <c:noMultiLvlLbl val="0"/>
      </c:catAx>
      <c:valAx>
        <c:axId val="8342872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Доля игроков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859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17</xdr:row>
      <xdr:rowOff>160560</xdr:rowOff>
    </xdr:from>
    <xdr:to>
      <xdr:col>15</xdr:col>
      <xdr:colOff>369000</xdr:colOff>
      <xdr:row>34</xdr:row>
      <xdr:rowOff>161640</xdr:rowOff>
    </xdr:to>
    <xdr:graphicFrame>
      <xdr:nvGraphicFramePr>
        <xdr:cNvPr id="0" name="Chart 1"/>
        <xdr:cNvGraphicFramePr/>
      </xdr:nvGraphicFramePr>
      <xdr:xfrm>
        <a:off x="4019400" y="3619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</row>
    <row r="5" customFormat="false" ht="15" hidden="false" customHeight="false" outlineLevel="0" collapsed="false">
      <c r="A5" s="4" t="s">
        <v>7</v>
      </c>
      <c r="B5" s="5" t="n">
        <v>30</v>
      </c>
      <c r="C5" s="6" t="n">
        <v>0.1</v>
      </c>
      <c r="D5" s="6" t="n">
        <v>0.3</v>
      </c>
    </row>
    <row r="6" customFormat="false" ht="15" hidden="false" customHeight="false" outlineLevel="0" collapsed="false">
      <c r="A6" s="4" t="s">
        <v>8</v>
      </c>
      <c r="B6" s="5" t="n">
        <v>45</v>
      </c>
      <c r="C6" s="6" t="n">
        <v>0.15</v>
      </c>
      <c r="D6" s="6" t="n">
        <v>0.2</v>
      </c>
    </row>
    <row r="7" customFormat="false" ht="15" hidden="false" customHeight="false" outlineLevel="0" collapsed="false">
      <c r="A7" s="4" t="s">
        <v>9</v>
      </c>
      <c r="B7" s="5" t="n">
        <v>60</v>
      </c>
      <c r="C7" s="6" t="n">
        <v>0.2</v>
      </c>
      <c r="D7" s="6" t="n">
        <v>0.2</v>
      </c>
    </row>
    <row r="8" customFormat="false" ht="15" hidden="false" customHeight="false" outlineLevel="0" collapsed="false">
      <c r="A8" s="4" t="s">
        <v>10</v>
      </c>
      <c r="B8" s="5" t="n">
        <v>40</v>
      </c>
      <c r="C8" s="6" t="n">
        <v>0.2</v>
      </c>
      <c r="D8" s="6" t="n">
        <v>0.15</v>
      </c>
    </row>
    <row r="9" customFormat="false" ht="15" hidden="false" customHeight="false" outlineLevel="0" collapsed="false">
      <c r="A9" s="4" t="s">
        <v>11</v>
      </c>
      <c r="B9" s="5" t="n">
        <v>25</v>
      </c>
      <c r="C9" s="6" t="n">
        <v>0.15</v>
      </c>
      <c r="D9" s="6" t="n">
        <v>0.15</v>
      </c>
    </row>
    <row r="10" customFormat="false" ht="15" hidden="false" customHeight="false" outlineLevel="0" collapsed="false">
      <c r="A10" s="4" t="s">
        <v>12</v>
      </c>
      <c r="B10" s="5" t="n">
        <v>12</v>
      </c>
      <c r="C10" s="6" t="n">
        <v>0.1</v>
      </c>
      <c r="D10" s="6" t="n">
        <v>0</v>
      </c>
    </row>
    <row r="11" customFormat="false" ht="15" hidden="false" customHeight="false" outlineLevel="0" collapsed="false">
      <c r="A11" s="4" t="s">
        <v>13</v>
      </c>
      <c r="B11" s="5" t="n">
        <v>7</v>
      </c>
      <c r="C11" s="6" t="n">
        <v>0.07</v>
      </c>
      <c r="D11" s="6" t="n">
        <v>0</v>
      </c>
    </row>
    <row r="12" customFormat="false" ht="15" hidden="false" customHeight="false" outlineLevel="0" collapsed="false">
      <c r="A12" s="4" t="s">
        <v>14</v>
      </c>
      <c r="B12" s="5" t="n">
        <v>3</v>
      </c>
      <c r="C12" s="6" t="n">
        <v>0.03</v>
      </c>
      <c r="D12" s="6" t="n">
        <v>0</v>
      </c>
    </row>
    <row r="13" customFormat="false" ht="15" hidden="false" customHeight="false" outlineLevel="0" collapsed="false">
      <c r="A13" s="7" t="s">
        <v>15</v>
      </c>
      <c r="B13" s="8" t="n">
        <f aca="false">SUM(B5:B12)</f>
        <v>222</v>
      </c>
      <c r="C13" s="9" t="n">
        <f aca="false">SUM(C5:C12)</f>
        <v>1</v>
      </c>
      <c r="D13" s="9" t="n">
        <f aca="false">SUM(D5:D12)</f>
        <v>1</v>
      </c>
      <c r="E13" s="10" t="str">
        <f aca="false">IF(OR(ROUND(C13,4)&lt;&gt;1,ROUND(D13,4)&lt;&gt;1),"Доли должны давать в сумме 100%","")</f>
        <v/>
      </c>
    </row>
    <row r="15" customFormat="false" ht="15" hidden="false" customHeight="false" outlineLevel="0" collapsed="false">
      <c r="A15" s="11" t="s">
        <v>16</v>
      </c>
    </row>
    <row r="16" customFormat="false" ht="15" hidden="false" customHeight="false" outlineLevel="0" collapsed="false">
      <c r="A16" s="4" t="s">
        <v>17</v>
      </c>
      <c r="B16" s="5" t="n">
        <v>30</v>
      </c>
      <c r="C16" s="2" t="s">
        <v>18</v>
      </c>
    </row>
    <row r="17" customFormat="false" ht="15" hidden="false" customHeight="false" outlineLevel="0" collapsed="false">
      <c r="A17" s="4" t="s">
        <v>19</v>
      </c>
      <c r="B17" s="5" t="n">
        <v>20</v>
      </c>
      <c r="C17" s="2" t="s">
        <v>20</v>
      </c>
    </row>
    <row r="18" customFormat="false" ht="15" hidden="false" customHeight="false" outlineLevel="0" collapsed="false">
      <c r="A18" s="4" t="s">
        <v>21</v>
      </c>
      <c r="B18" s="6" t="n">
        <v>0.2</v>
      </c>
      <c r="C18" s="2" t="s">
        <v>22</v>
      </c>
    </row>
    <row r="19" customFormat="false" ht="15" hidden="false" customHeight="false" outlineLevel="0" collapsed="false">
      <c r="A19" s="4" t="s">
        <v>23</v>
      </c>
      <c r="B19" s="6" t="n">
        <v>0.1</v>
      </c>
      <c r="C19" s="2"/>
    </row>
    <row r="20" customFormat="false" ht="15" hidden="false" customHeight="false" outlineLevel="0" collapsed="false">
      <c r="A20" s="4" t="s">
        <v>24</v>
      </c>
      <c r="B20" s="6" t="n">
        <v>0.3</v>
      </c>
      <c r="C20" s="2"/>
    </row>
    <row r="21" customFormat="false" ht="15" hidden="false" customHeight="false" outlineLevel="0" collapsed="false">
      <c r="A21" s="4" t="s">
        <v>25</v>
      </c>
      <c r="B21" s="6" t="n">
        <v>0.1</v>
      </c>
      <c r="C21" s="2" t="s">
        <v>26</v>
      </c>
    </row>
    <row r="22" customFormat="false" ht="15" hidden="false" customHeight="false" outlineLevel="0" collapsed="false">
      <c r="A22" s="4" t="s">
        <v>27</v>
      </c>
      <c r="B22" s="5" t="n">
        <v>30</v>
      </c>
      <c r="C22" s="2" t="s">
        <v>28</v>
      </c>
    </row>
    <row r="23" customFormat="false" ht="15" hidden="false" customHeight="false" outlineLevel="0" collapsed="false">
      <c r="A23" s="4" t="s">
        <v>29</v>
      </c>
      <c r="B23" s="5" t="n">
        <v>50</v>
      </c>
      <c r="C23" s="2" t="s">
        <v>30</v>
      </c>
    </row>
    <row r="24" customFormat="false" ht="15" hidden="false" customHeight="false" outlineLevel="0" collapsed="false">
      <c r="A24" s="4" t="s">
        <v>31</v>
      </c>
      <c r="B24" s="6" t="n">
        <v>0.1</v>
      </c>
      <c r="C24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30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8"/>
    <col collapsed="false" customWidth="true" hidden="false" outlineLevel="0" max="14" min="13" style="0" width="10"/>
    <col collapsed="false" customWidth="true" hidden="false" outlineLevel="0" max="15" min="15" style="0" width="18"/>
    <col collapsed="false" customWidth="true" hidden="false" outlineLevel="0" max="18" min="16" style="0" width="11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42" hidden="false" customHeight="true" outlineLevel="0" collapsed="false">
      <c r="A4" s="3" t="s">
        <v>3</v>
      </c>
      <c r="B4" s="3" t="s">
        <v>35</v>
      </c>
      <c r="C4" s="3" t="s">
        <v>36</v>
      </c>
      <c r="D4" s="3" t="s">
        <v>37</v>
      </c>
      <c r="E4" s="3" t="s">
        <v>38</v>
      </c>
      <c r="F4" s="12" t="s">
        <v>39</v>
      </c>
      <c r="G4" s="12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 customFormat="false" ht="15" hidden="false" customHeight="false" outlineLevel="0" collapsed="false">
      <c r="A5" s="13" t="str">
        <f aca="false">Ввод!A5</f>
        <v>Herald</v>
      </c>
      <c r="B5" s="14" t="n">
        <f aca="false">Ввод!B5</f>
        <v>30</v>
      </c>
      <c r="C5" s="15" t="n">
        <f aca="false">IF(SUM($B$5:$B$12)=0,0,B5/SUM($B$5:$B$12))</f>
        <v>0.135135135135135</v>
      </c>
      <c r="D5" s="16" t="n">
        <f aca="false">Ввод!C5</f>
        <v>0.1</v>
      </c>
      <c r="E5" s="17" t="n">
        <f aca="false">IF(D5=0,0,(D5-C5)/D5)</f>
        <v>-0.351351351351351</v>
      </c>
      <c r="F5" s="18" t="n">
        <f aca="false">B5</f>
        <v>30</v>
      </c>
      <c r="G5" s="18" t="n">
        <v>1</v>
      </c>
      <c r="H5" s="19" t="n">
        <f aca="false">IF(AND(G5=$G$11,$F$11&lt;Ввод!$B$17,$G$11&gt;1),$G$11-1,G5)</f>
        <v>1</v>
      </c>
      <c r="I5" s="4" t="str">
        <f aca="false">IF(COUNTIF($H$5:$H$11,H5)=1,"своя таблица",_xlfn.TEXTJOIN(" + ",TRUE(),IF($H$5=H5,$A$5,""),IF($H$6=H5,$A$6,""),IF($H$7=H5,$A$7,""),IF($H$8=H5,$A$8,""),IF($H$9=H5,$A$9,""),IF($H$10=H5,$A$10,""),IF($H$11=H5,$A$11,"")))</f>
        <v>своя таблица</v>
      </c>
      <c r="J5" s="19" t="n">
        <f aca="false">SUMIF($H$5:$H$11,H5,$B$5:$B$11)</f>
        <v>30</v>
      </c>
      <c r="K5" s="19" t="n">
        <f aca="false">IF(J5=0,0,MAX(1,ROUND(J5/Ввод!$B$16,0)))</f>
        <v>1</v>
      </c>
      <c r="L5" s="4" t="str">
        <f aca="false">IF(K5=0,"—",IF(MOD(J5,K5)=0,K5&amp;" × "&amp;J5/K5,MOD(J5,K5)&amp;" × "&amp;(INT(J5/K5)+1)&amp;" + "&amp;(K5-MOD(J5,K5))&amp;" × "&amp;INT(J5/K5)))</f>
        <v>1 × 30</v>
      </c>
      <c r="M5" s="20" t="n">
        <f aca="false">MIN(Ввод!$B$20,MAX(Ввод!$B$19,Ввод!$B$18+Ввод!$B$21*E6))</f>
        <v>0.164864864864865</v>
      </c>
      <c r="N5" s="20" t="n">
        <f aca="false">0</f>
        <v>0</v>
      </c>
      <c r="O5" s="4" t="str">
        <f aca="false">IF(K5=0,"—","вверх "&amp;ROUNDDOWN(SUMPRODUCT(($H$5:$H$11=H5)*$B$5:$B$11*$M$5:$M$11)/K5,0)&amp;" / вниз "&amp;ROUNDDOWN(SUMPRODUCT(($H$5:$H$11=H5)*$B$5:$B$11*$N$5:$N$11)/K5,0))</f>
        <v>вверх 4 / вниз 0</v>
      </c>
      <c r="P5" s="21" t="n">
        <f aca="false">B5*M5</f>
        <v>4.94594594594595</v>
      </c>
      <c r="Q5" s="21" t="n">
        <f aca="false">B5*N5</f>
        <v>0</v>
      </c>
      <c r="R5" s="21" t="n">
        <f aca="false">B5-P5-Q5+Q6</f>
        <v>35.6351351351351</v>
      </c>
    </row>
    <row r="6" customFormat="false" ht="15" hidden="false" customHeight="false" outlineLevel="0" collapsed="false">
      <c r="A6" s="13" t="str">
        <f aca="false">Ввод!A6</f>
        <v>Guardian</v>
      </c>
      <c r="B6" s="14" t="n">
        <f aca="false">Ввод!B6</f>
        <v>45</v>
      </c>
      <c r="C6" s="15" t="n">
        <f aca="false">IF(SUM($B$5:$B$12)=0,0,B6/SUM($B$5:$B$12))</f>
        <v>0.202702702702703</v>
      </c>
      <c r="D6" s="16" t="n">
        <f aca="false">Ввод!C6</f>
        <v>0.15</v>
      </c>
      <c r="E6" s="17" t="n">
        <f aca="false">IF(D6=0,0,(D6-C6)/D6)</f>
        <v>-0.351351351351352</v>
      </c>
      <c r="F6" s="18" t="n">
        <f aca="false">IF(F5&gt;=Ввод!$B$17,B6,F5+B6)</f>
        <v>45</v>
      </c>
      <c r="G6" s="18" t="n">
        <f aca="false">IF(F5&gt;=Ввод!$B$17,G5+1,G5)</f>
        <v>2</v>
      </c>
      <c r="H6" s="19" t="n">
        <f aca="false">IF(AND(G6=$G$11,$F$11&lt;Ввод!$B$17,$G$11&gt;1),$G$11-1,G6)</f>
        <v>2</v>
      </c>
      <c r="I6" s="4" t="str">
        <f aca="false">IF(COUNTIF($H$5:$H$11,H6)=1,"своя таблица",_xlfn.TEXTJOIN(" + ",TRUE(),IF($H$5=H6,$A$5,""),IF($H$6=H6,$A$6,""),IF($H$7=H6,$A$7,""),IF($H$8=H6,$A$8,""),IF($H$9=H6,$A$9,""),IF($H$10=H6,$A$10,""),IF($H$11=H6,$A$11,"")))</f>
        <v>своя таблица</v>
      </c>
      <c r="J6" s="19" t="n">
        <f aca="false">SUMIF($H$5:$H$11,H6,$B$5:$B$11)</f>
        <v>45</v>
      </c>
      <c r="K6" s="19" t="n">
        <f aca="false">IF(J6=0,0,MAX(1,ROUND(J6/Ввод!$B$16,0)))</f>
        <v>2</v>
      </c>
      <c r="L6" s="4" t="str">
        <f aca="false">IF(K6=0,"—",IF(MOD(J6,K6)=0,K6&amp;" × "&amp;J6/K6,MOD(J6,K6)&amp;" × "&amp;(INT(J6/K6)+1)&amp;" + "&amp;(K6-MOD(J6,K6))&amp;" × "&amp;INT(J6/K6)))</f>
        <v>1 × 23 + 1 × 22</v>
      </c>
      <c r="M6" s="20" t="n">
        <f aca="false">MIN(Ввод!$B$20,MAX(Ввод!$B$19,Ввод!$B$18+Ввод!$B$21*E7))</f>
        <v>0.164864864864865</v>
      </c>
      <c r="N6" s="20" t="n">
        <f aca="false">MIN(Ввод!$B$20,MAX(Ввод!$B$19,Ввод!$B$18-Ввод!$B$21*E6))</f>
        <v>0.235135135135135</v>
      </c>
      <c r="O6" s="4" t="str">
        <f aca="false">IF(K6=0,"—","вверх "&amp;ROUNDDOWN(SUMPRODUCT(($H$5:$H$11=H6)*$B$5:$B$11*$M$5:$M$11)/K6,0)&amp;" / вниз "&amp;ROUNDDOWN(SUMPRODUCT(($H$5:$H$11=H6)*$B$5:$B$11*$N$5:$N$11)/K6,0))</f>
        <v>вверх 3 / вниз 5</v>
      </c>
      <c r="P6" s="21" t="n">
        <f aca="false">B6*M6</f>
        <v>7.41891891891892</v>
      </c>
      <c r="Q6" s="21" t="n">
        <f aca="false">B6*N6</f>
        <v>10.5810810810811</v>
      </c>
      <c r="R6" s="21" t="n">
        <f aca="false">B6-P6-Q6+P5+Q7</f>
        <v>46.0540540540541</v>
      </c>
    </row>
    <row r="7" customFormat="false" ht="15" hidden="false" customHeight="false" outlineLevel="0" collapsed="false">
      <c r="A7" s="13" t="str">
        <f aca="false">Ввод!A7</f>
        <v>Crusader</v>
      </c>
      <c r="B7" s="14" t="n">
        <f aca="false">Ввод!B7</f>
        <v>60</v>
      </c>
      <c r="C7" s="15" t="n">
        <f aca="false">IF(SUM($B$5:$B$12)=0,0,B7/SUM($B$5:$B$12))</f>
        <v>0.27027027027027</v>
      </c>
      <c r="D7" s="16" t="n">
        <f aca="false">Ввод!C7</f>
        <v>0.2</v>
      </c>
      <c r="E7" s="17" t="n">
        <f aca="false">IF(D7=0,0,(D7-C7)/D7)</f>
        <v>-0.351351351351351</v>
      </c>
      <c r="F7" s="18" t="n">
        <f aca="false">IF(F6&gt;=Ввод!$B$17,B7,F6+B7)</f>
        <v>60</v>
      </c>
      <c r="G7" s="18" t="n">
        <f aca="false">IF(F6&gt;=Ввод!$B$17,G6+1,G6)</f>
        <v>3</v>
      </c>
      <c r="H7" s="19" t="n">
        <f aca="false">IF(AND(G7=$G$11,$F$11&lt;Ввод!$B$17,$G$11&gt;1),$G$11-1,G7)</f>
        <v>3</v>
      </c>
      <c r="I7" s="4" t="str">
        <f aca="false">IF(COUNTIF($H$5:$H$11,H7)=1,"своя таблица",_xlfn.TEXTJOIN(" + ",TRUE(),IF($H$5=H7,$A$5,""),IF($H$6=H7,$A$6,""),IF($H$7=H7,$A$7,""),IF($H$8=H7,$A$8,""),IF($H$9=H7,$A$9,""),IF($H$10=H7,$A$10,""),IF($H$11=H7,$A$11,"")))</f>
        <v>своя таблица</v>
      </c>
      <c r="J7" s="19" t="n">
        <f aca="false">SUMIF($H$5:$H$11,H7,$B$5:$B$11)</f>
        <v>60</v>
      </c>
      <c r="K7" s="19" t="n">
        <f aca="false">IF(J7=0,0,MAX(1,ROUND(J7/Ввод!$B$16,0)))</f>
        <v>2</v>
      </c>
      <c r="L7" s="4" t="str">
        <f aca="false">IF(K7=0,"—",IF(MOD(J7,K7)=0,K7&amp;" × "&amp;J7/K7,MOD(J7,K7)&amp;" × "&amp;(INT(J7/K7)+1)&amp;" + "&amp;(K7-MOD(J7,K7))&amp;" × "&amp;INT(J7/K7)))</f>
        <v>2 × 30</v>
      </c>
      <c r="M7" s="20" t="n">
        <f aca="false">MIN(Ввод!$B$20,MAX(Ввод!$B$19,Ввод!$B$18+Ввод!$B$21*E8))</f>
        <v>0.20990990990991</v>
      </c>
      <c r="N7" s="20" t="n">
        <f aca="false">MIN(Ввод!$B$20,MAX(Ввод!$B$19,Ввод!$B$18-Ввод!$B$21*E7))</f>
        <v>0.235135135135135</v>
      </c>
      <c r="O7" s="4" t="str">
        <f aca="false">IF(K7=0,"—","вверх "&amp;ROUNDDOWN(SUMPRODUCT(($H$5:$H$11=H7)*$B$5:$B$11*$M$5:$M$11)/K7,0)&amp;" / вниз "&amp;ROUNDDOWN(SUMPRODUCT(($H$5:$H$11=H7)*$B$5:$B$11*$N$5:$N$11)/K7,0))</f>
        <v>вверх 6 / вниз 7</v>
      </c>
      <c r="P7" s="21" t="n">
        <f aca="false">B7*M7</f>
        <v>12.5945945945946</v>
      </c>
      <c r="Q7" s="21" t="n">
        <f aca="false">B7*N7</f>
        <v>14.1081081081081</v>
      </c>
      <c r="R7" s="21" t="n">
        <f aca="false">B7-P7-Q7+P6+Q8</f>
        <v>48.3198198198198</v>
      </c>
    </row>
    <row r="8" customFormat="false" ht="15" hidden="false" customHeight="false" outlineLevel="0" collapsed="false">
      <c r="A8" s="13" t="str">
        <f aca="false">Ввод!A8</f>
        <v>Archon</v>
      </c>
      <c r="B8" s="14" t="n">
        <f aca="false">Ввод!B8</f>
        <v>40</v>
      </c>
      <c r="C8" s="15" t="n">
        <f aca="false">IF(SUM($B$5:$B$12)=0,0,B8/SUM($B$5:$B$12))</f>
        <v>0.18018018018018</v>
      </c>
      <c r="D8" s="16" t="n">
        <f aca="false">Ввод!C8</f>
        <v>0.2</v>
      </c>
      <c r="E8" s="17" t="n">
        <f aca="false">IF(D8=0,0,(D8-C8)/D8)</f>
        <v>0.0990990990990992</v>
      </c>
      <c r="F8" s="18" t="n">
        <f aca="false">IF(F7&gt;=Ввод!$B$17,B8,F7+B8)</f>
        <v>40</v>
      </c>
      <c r="G8" s="18" t="n">
        <f aca="false">IF(F7&gt;=Ввод!$B$17,G7+1,G7)</f>
        <v>4</v>
      </c>
      <c r="H8" s="19" t="n">
        <f aca="false">IF(AND(G8=$G$11,$F$11&lt;Ввод!$B$17,$G$11&gt;1),$G$11-1,G8)</f>
        <v>4</v>
      </c>
      <c r="I8" s="4" t="str">
        <f aca="false">IF(COUNTIF($H$5:$H$11,H8)=1,"своя таблица",_xlfn.TEXTJOIN(" + ",TRUE(),IF($H$5=H8,$A$5,""),IF($H$6=H8,$A$6,""),IF($H$7=H8,$A$7,""),IF($H$8=H8,$A$8,""),IF($H$9=H8,$A$9,""),IF($H$10=H8,$A$10,""),IF($H$11=H8,$A$11,"")))</f>
        <v>своя таблица</v>
      </c>
      <c r="J8" s="19" t="n">
        <f aca="false">SUMIF($H$5:$H$11,H8,$B$5:$B$11)</f>
        <v>40</v>
      </c>
      <c r="K8" s="19" t="n">
        <f aca="false">IF(J8=0,0,MAX(1,ROUND(J8/Ввод!$B$16,0)))</f>
        <v>1</v>
      </c>
      <c r="L8" s="4" t="str">
        <f aca="false">IF(K8=0,"—",IF(MOD(J8,K8)=0,K8&amp;" × "&amp;J8/K8,MOD(J8,K8)&amp;" × "&amp;(INT(J8/K8)+1)&amp;" + "&amp;(K8-MOD(J8,K8))&amp;" × "&amp;INT(J8/K8)))</f>
        <v>1 × 40</v>
      </c>
      <c r="M8" s="20" t="n">
        <f aca="false">MIN(Ввод!$B$20,MAX(Ввод!$B$19,Ввод!$B$18+Ввод!$B$21*E9))</f>
        <v>0.224924924924925</v>
      </c>
      <c r="N8" s="20" t="n">
        <f aca="false">MIN(Ввод!$B$20,MAX(Ввод!$B$19,Ввод!$B$18-Ввод!$B$21*E8))</f>
        <v>0.19009009009009</v>
      </c>
      <c r="O8" s="4" t="str">
        <f aca="false">IF(K8=0,"—","вверх "&amp;ROUNDDOWN(SUMPRODUCT(($H$5:$H$11=H8)*$B$5:$B$11*$M$5:$M$11)/K8,0)&amp;" / вниз "&amp;ROUNDDOWN(SUMPRODUCT(($H$5:$H$11=H8)*$B$5:$B$11*$N$5:$N$11)/K8,0))</f>
        <v>вверх 8 / вниз 7</v>
      </c>
      <c r="P8" s="21" t="n">
        <f aca="false">B8*M8</f>
        <v>8.996996996997</v>
      </c>
      <c r="Q8" s="21" t="n">
        <f aca="false">B8*N8</f>
        <v>7.6036036036036</v>
      </c>
      <c r="R8" s="21" t="n">
        <f aca="false">B8-P8-Q8+P7+Q9</f>
        <v>40.3708708708709</v>
      </c>
    </row>
    <row r="9" customFormat="false" ht="15" hidden="false" customHeight="false" outlineLevel="0" collapsed="false">
      <c r="A9" s="13" t="str">
        <f aca="false">Ввод!A9</f>
        <v>Legend</v>
      </c>
      <c r="B9" s="14" t="n">
        <f aca="false">Ввод!B9</f>
        <v>25</v>
      </c>
      <c r="C9" s="15" t="n">
        <f aca="false">IF(SUM($B$5:$B$12)=0,0,B9/SUM($B$5:$B$12))</f>
        <v>0.112612612612613</v>
      </c>
      <c r="D9" s="16" t="n">
        <f aca="false">Ввод!C9</f>
        <v>0.15</v>
      </c>
      <c r="E9" s="17" t="n">
        <f aca="false">IF(D9=0,0,(D9-C9)/D9)</f>
        <v>0.249249249249249</v>
      </c>
      <c r="F9" s="18" t="n">
        <f aca="false">IF(F8&gt;=Ввод!$B$17,B9,F8+B9)</f>
        <v>25</v>
      </c>
      <c r="G9" s="18" t="n">
        <f aca="false">IF(F8&gt;=Ввод!$B$17,G8+1,G8)</f>
        <v>5</v>
      </c>
      <c r="H9" s="19" t="n">
        <f aca="false">IF(AND(G9=$G$11,$F$11&lt;Ввод!$B$17,$G$11&gt;1),$G$11-1,G9)</f>
        <v>5</v>
      </c>
      <c r="I9" s="4" t="str">
        <f aca="false">IF(COUNTIF($H$5:$H$11,H9)=1,"своя таблица",_xlfn.TEXTJOIN(" + ",TRUE(),IF($H$5=H9,$A$5,""),IF($H$6=H9,$A$6,""),IF($H$7=H9,$A$7,""),IF($H$8=H9,$A$8,""),IF($H$9=H9,$A$9,""),IF($H$10=H9,$A$10,""),IF($H$11=H9,$A$11,"")))</f>
        <v>Legend + Ancient + Divine</v>
      </c>
      <c r="J9" s="19" t="n">
        <f aca="false">SUMIF($H$5:$H$11,H9,$B$5:$B$11)</f>
        <v>44</v>
      </c>
      <c r="K9" s="19" t="n">
        <f aca="false">IF(J9=0,0,MAX(1,ROUND(J9/Ввод!$B$16,0)))</f>
        <v>1</v>
      </c>
      <c r="L9" s="4" t="str">
        <f aca="false">IF(K9=0,"—",IF(MOD(J9,K9)=0,K9&amp;" × "&amp;J9/K9,MOD(J9,K9)&amp;" × "&amp;(INT(J9/K9)+1)&amp;" + "&amp;(K9-MOD(J9,K9))&amp;" × "&amp;INT(J9/K9)))</f>
        <v>1 × 44</v>
      </c>
      <c r="M9" s="20" t="n">
        <f aca="false">MIN(Ввод!$B$20,MAX(Ввод!$B$19,Ввод!$B$18+Ввод!$B$21*E10))</f>
        <v>0.245945945945946</v>
      </c>
      <c r="N9" s="20" t="n">
        <f aca="false">MIN(Ввод!$B$20,MAX(Ввод!$B$19,Ввод!$B$18-Ввод!$B$21*E9))</f>
        <v>0.175075075075075</v>
      </c>
      <c r="O9" s="4" t="str">
        <f aca="false">IF(K9=0,"—","вверх "&amp;ROUNDDOWN(SUMPRODUCT(($H$5:$H$11=H9)*$B$5:$B$11*$M$5:$M$11)/K9,0)&amp;" / вниз "&amp;ROUNDDOWN(SUMPRODUCT(($H$5:$H$11=H9)*$B$5:$B$11*$N$5:$N$11)/K9,0))</f>
        <v>вверх 10 / вниз 7</v>
      </c>
      <c r="P9" s="21" t="n">
        <f aca="false">B9*M9</f>
        <v>6.14864864864865</v>
      </c>
      <c r="Q9" s="21" t="n">
        <f aca="false">B9*N9</f>
        <v>4.37687687687688</v>
      </c>
      <c r="R9" s="21" t="n">
        <f aca="false">B9-P9-Q9+P8+Q10</f>
        <v>25.3201201201201</v>
      </c>
    </row>
    <row r="10" customFormat="false" ht="15" hidden="false" customHeight="false" outlineLevel="0" collapsed="false">
      <c r="A10" s="13" t="str">
        <f aca="false">Ввод!A10</f>
        <v>Ancient</v>
      </c>
      <c r="B10" s="14" t="n">
        <f aca="false">Ввод!B10</f>
        <v>12</v>
      </c>
      <c r="C10" s="15" t="n">
        <f aca="false">IF(SUM($B$5:$B$12)=0,0,B10/SUM($B$5:$B$12))</f>
        <v>0.0540540540540541</v>
      </c>
      <c r="D10" s="16" t="n">
        <f aca="false">Ввод!C10</f>
        <v>0.1</v>
      </c>
      <c r="E10" s="17" t="n">
        <f aca="false">IF(D10=0,0,(D10-C10)/D10)</f>
        <v>0.45945945945946</v>
      </c>
      <c r="F10" s="18" t="n">
        <f aca="false">IF(F9&gt;=Ввод!$B$17,B10,F9+B10)</f>
        <v>12</v>
      </c>
      <c r="G10" s="18" t="n">
        <f aca="false">IF(F9&gt;=Ввод!$B$17,G9+1,G9)</f>
        <v>6</v>
      </c>
      <c r="H10" s="4" t="n">
        <f aca="false">IF(AND(G10=$G$11,$F$11&lt;Ввод!$B$17,$G$11&gt;1),$G$11-1,G10)</f>
        <v>5</v>
      </c>
      <c r="I10" s="4" t="str">
        <f aca="false">IF(COUNTIF($H$5:$H$11,H10)=1,"своя таблица",_xlfn.TEXTJOIN(" + ",TRUE(),IF($H$5=H10,$A$5,""),IF($H$6=H10,$A$6,""),IF($H$7=H10,$A$7,""),IF($H$8=H10,$A$8,""),IF($H$9=H10,$A$9,""),IF($H$10=H10,$A$10,""),IF($H$11=H10,$A$11,"")))</f>
        <v>Legend + Ancient + Divine</v>
      </c>
      <c r="J10" s="19" t="n">
        <f aca="false">SUMIF($H$5:$H$11,H10,$B$5:$B$11)</f>
        <v>44</v>
      </c>
      <c r="K10" s="19" t="n">
        <f aca="false">IF(J10=0,0,MAX(1,ROUND(J10/Ввод!$B$16,0)))</f>
        <v>1</v>
      </c>
      <c r="L10" s="4" t="str">
        <f aca="false">IF(K10=0,"—",IF(MOD(J10,K10)=0,K10&amp;" × "&amp;J10/K10,MOD(J10,K10)&amp;" × "&amp;(INT(J10/K10)+1)&amp;" + "&amp;(K10-MOD(J10,K10))&amp;" × "&amp;INT(J10/K10)))</f>
        <v>1 × 44</v>
      </c>
      <c r="M10" s="20" t="n">
        <f aca="false">MIN(Ввод!$B$20,MAX(Ввод!$B$19,Ввод!$B$18+Ввод!$B$21*E11))</f>
        <v>0.254954954954955</v>
      </c>
      <c r="N10" s="20" t="n">
        <f aca="false">MIN(Ввод!$B$20,MAX(Ввод!$B$19,Ввод!$B$18-Ввод!$B$21*E10))</f>
        <v>0.154054054054054</v>
      </c>
      <c r="O10" s="4" t="str">
        <f aca="false">IF(K10=0,"—","вверх "&amp;ROUNDDOWN(SUMPRODUCT(($H$5:$H$11=H10)*$B$5:$B$11*$M$5:$M$11)/K10,0)&amp;" / вниз "&amp;ROUNDDOWN(SUMPRODUCT(($H$5:$H$11=H10)*$B$5:$B$11*$N$5:$N$11)/K10,0))</f>
        <v>вверх 10 / вниз 7</v>
      </c>
      <c r="P10" s="21" t="n">
        <f aca="false">B10*M10</f>
        <v>3.05945945945946</v>
      </c>
      <c r="Q10" s="21" t="n">
        <f aca="false">B10*N10</f>
        <v>1.84864864864865</v>
      </c>
      <c r="R10" s="21" t="n">
        <f aca="false">B10-P10-Q10+P9+Q11</f>
        <v>14.2558558558559</v>
      </c>
    </row>
    <row r="11" customFormat="false" ht="15" hidden="false" customHeight="false" outlineLevel="0" collapsed="false">
      <c r="A11" s="13" t="str">
        <f aca="false">Ввод!A11</f>
        <v>Divine</v>
      </c>
      <c r="B11" s="14" t="n">
        <f aca="false">Ввод!B11</f>
        <v>7</v>
      </c>
      <c r="C11" s="15" t="n">
        <f aca="false">IF(SUM($B$5:$B$12)=0,0,B11/SUM($B$5:$B$12))</f>
        <v>0.0315315315315315</v>
      </c>
      <c r="D11" s="16" t="n">
        <f aca="false">Ввод!C11</f>
        <v>0.07</v>
      </c>
      <c r="E11" s="17" t="n">
        <f aca="false">IF(D11=0,0,(D11-C11)/D11)</f>
        <v>0.54954954954955</v>
      </c>
      <c r="F11" s="18" t="n">
        <f aca="false">IF(F10&gt;=Ввод!$B$17,B11,F10+B11)</f>
        <v>19</v>
      </c>
      <c r="G11" s="18" t="n">
        <f aca="false">IF(F10&gt;=Ввод!$B$17,G10+1,G10)</f>
        <v>6</v>
      </c>
      <c r="H11" s="4" t="n">
        <f aca="false">IF(AND(G11=$G$11,$F$11&lt;Ввод!$B$17,$G$11&gt;1),$G$11-1,G11)</f>
        <v>5</v>
      </c>
      <c r="I11" s="4" t="str">
        <f aca="false">IF(COUNTIF($H$5:$H$11,H11)=1,"своя таблица",_xlfn.TEXTJOIN(" + ",TRUE(),IF($H$5=H11,$A$5,""),IF($H$6=H11,$A$6,""),IF($H$7=H11,$A$7,""),IF($H$8=H11,$A$8,""),IF($H$9=H11,$A$9,""),IF($H$10=H11,$A$10,""),IF($H$11=H11,$A$11,"")))</f>
        <v>Legend + Ancient + Divine</v>
      </c>
      <c r="J11" s="19" t="n">
        <f aca="false">SUMIF($H$5:$H$11,H11,$B$5:$B$11)</f>
        <v>44</v>
      </c>
      <c r="K11" s="19" t="n">
        <f aca="false">IF(J11=0,0,MAX(1,ROUND(J11/Ввод!$B$16,0)))</f>
        <v>1</v>
      </c>
      <c r="L11" s="4" t="str">
        <f aca="false">IF(K11=0,"—",IF(MOD(J11,K11)=0,K11&amp;" × "&amp;J11/K11,MOD(J11,K11)&amp;" × "&amp;(INT(J11/K11)+1)&amp;" + "&amp;(K11-MOD(J11,K11))&amp;" × "&amp;INT(J11/K11)))</f>
        <v>1 × 44</v>
      </c>
      <c r="M11" s="20" t="n">
        <f aca="false">MIN(Ввод!$B$20,MAX(Ввод!$B$19,Ввод!$B$18+Ввод!$B$21*E12))</f>
        <v>0.254954954954955</v>
      </c>
      <c r="N11" s="20" t="n">
        <f aca="false">MIN(Ввод!$B$20,MAX(Ввод!$B$19,Ввод!$B$18-Ввод!$B$21*E11))</f>
        <v>0.145045045045045</v>
      </c>
      <c r="O11" s="4" t="str">
        <f aca="false">IF(K11=0,"—","вверх "&amp;ROUNDDOWN(SUMPRODUCT(($H$5:$H$11=H11)*$B$5:$B$11*$M$5:$M$11)/K11,0)&amp;" / вниз "&amp;ROUNDDOWN(SUMPRODUCT(($H$5:$H$11=H11)*$B$5:$B$11*$N$5:$N$11)/K11,0))</f>
        <v>вверх 10 / вниз 7</v>
      </c>
      <c r="P11" s="21" t="n">
        <f aca="false">B11*M11</f>
        <v>1.78468468468468</v>
      </c>
      <c r="Q11" s="21" t="n">
        <f aca="false">B11*N11</f>
        <v>1.01531531531532</v>
      </c>
      <c r="R11" s="21" t="n">
        <f aca="false">B11-P11-Q11+P10+Q12</f>
        <v>7.25945945945946</v>
      </c>
    </row>
    <row r="12" customFormat="false" ht="15" hidden="false" customHeight="false" outlineLevel="0" collapsed="false">
      <c r="A12" s="13" t="str">
        <f aca="false">Ввод!A12</f>
        <v>Immortal</v>
      </c>
      <c r="B12" s="14" t="n">
        <f aca="false">Ввод!B12</f>
        <v>3</v>
      </c>
      <c r="C12" s="15" t="n">
        <f aca="false">IF(SUM($B$5:$B$12)=0,0,B12/SUM($B$5:$B$12))</f>
        <v>0.0135135135135135</v>
      </c>
      <c r="D12" s="16" t="n">
        <f aca="false">Ввод!C12</f>
        <v>0.03</v>
      </c>
      <c r="E12" s="17" t="n">
        <f aca="false">IF(D12=0,0,(D12-C12)/D12)</f>
        <v>0.54954954954955</v>
      </c>
      <c r="F12" s="18"/>
      <c r="G12" s="18"/>
      <c r="H12" s="4" t="s">
        <v>52</v>
      </c>
      <c r="I12" s="4" t="s">
        <v>53</v>
      </c>
      <c r="J12" s="19" t="n">
        <f aca="false">B12</f>
        <v>3</v>
      </c>
      <c r="K12" s="19" t="n">
        <f aca="false">IF(B12&gt;0,1,0)</f>
        <v>1</v>
      </c>
      <c r="L12" s="4" t="str">
        <f aca="false">IF(B12&gt;0,B12&amp;" (без групп)","—")</f>
        <v>3 (без групп)</v>
      </c>
      <c r="M12" s="20" t="n">
        <f aca="false">0</f>
        <v>0</v>
      </c>
      <c r="N12" s="20" t="n">
        <f aca="false">IF(B12&lt;Ввод!$B$22,0,MIN(Ввод!$B$20,MAX(Ввод!$B$19,Ввод!$B$18-Ввод!$B$21*E12)))</f>
        <v>0</v>
      </c>
      <c r="O12" s="4" t="str">
        <f aca="false">"вверх 0 / вниз "&amp;ROUNDDOWN(B12*N12,0)</f>
        <v>вверх 0 / вниз 0</v>
      </c>
      <c r="P12" s="21" t="n">
        <f aca="false">B12*M12</f>
        <v>0</v>
      </c>
      <c r="Q12" s="21" t="n">
        <f aca="false">B12*N12</f>
        <v>0</v>
      </c>
      <c r="R12" s="21" t="n">
        <f aca="false">B12-P12-Q12+P11</f>
        <v>4.78468468468468</v>
      </c>
    </row>
    <row r="13" customFormat="false" ht="15" hidden="false" customHeight="false" outlineLevel="0" collapsed="false">
      <c r="A13" s="7" t="s">
        <v>15</v>
      </c>
      <c r="B13" s="8" t="n">
        <f aca="false">SUM(B5:B12)</f>
        <v>222</v>
      </c>
      <c r="C13" s="22" t="n">
        <f aca="false">SUM(C5:C12)</f>
        <v>1</v>
      </c>
      <c r="D13" s="23"/>
      <c r="E13" s="24"/>
      <c r="F13" s="25"/>
      <c r="G13" s="25"/>
      <c r="J13" s="8" t="n">
        <f aca="false">SUM(B5:B12)</f>
        <v>222</v>
      </c>
      <c r="K13" s="25"/>
      <c r="M13" s="23"/>
      <c r="N13" s="23"/>
      <c r="P13" s="26" t="n">
        <f aca="false">SUM(P5:P12)</f>
        <v>44.9492492492493</v>
      </c>
      <c r="Q13" s="26" t="n">
        <f aca="false">SUM(Q5:Q12)</f>
        <v>39.5336336336336</v>
      </c>
      <c r="R13" s="26" t="n">
        <f aca="false">SUM(R5:R12)</f>
        <v>222</v>
      </c>
    </row>
    <row r="15" customFormat="false" ht="15" hidden="false" customHeight="false" outlineLevel="0" collapsed="false">
      <c r="A15" s="7" t="s">
        <v>54</v>
      </c>
    </row>
    <row r="16" customFormat="false" ht="15" hidden="false" customHeight="false" outlineLevel="0" collapsed="false">
      <c r="A16" s="2" t="s">
        <v>55</v>
      </c>
    </row>
    <row r="17" customFormat="false" ht="15" hidden="false" customHeight="false" outlineLevel="0" collapsed="false">
      <c r="A17" s="2" t="s">
        <v>56</v>
      </c>
    </row>
    <row r="18" customFormat="false" ht="15" hidden="false" customHeight="false" outlineLevel="0" collapsed="false">
      <c r="A18" s="2" t="s">
        <v>57</v>
      </c>
    </row>
    <row r="19" customFormat="false" ht="15" hidden="false" customHeight="false" outlineLevel="0" collapsed="false">
      <c r="A19" s="2" t="s">
        <v>58</v>
      </c>
    </row>
    <row r="20" customFormat="false" ht="15" hidden="false" customHeight="false" outlineLevel="0" collapsed="false">
      <c r="A20" s="2" t="s">
        <v>59</v>
      </c>
    </row>
  </sheetData>
  <conditionalFormatting sqref="A5:R11">
    <cfRule type="expression" priority="2" aboveAverage="0" equalAverage="0" bottom="0" percent="0" rank="0" text="" dxfId="0">
      <formula>COUNTIF($H$5:$H$11,$H5)&gt;1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9.51"/>
    <col collapsed="false" customWidth="true" hidden="false" outlineLevel="0" max="35" min="12" style="0" width="1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L3" s="2" t="s">
        <v>62</v>
      </c>
    </row>
    <row r="4" customFormat="false" ht="30" hidden="false" customHeight="true" outlineLevel="0" collapsed="false">
      <c r="A4" s="3" t="s">
        <v>63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64</v>
      </c>
      <c r="L4" s="27" t="s">
        <v>65</v>
      </c>
      <c r="M4" s="27" t="s">
        <v>66</v>
      </c>
      <c r="N4" s="27" t="s">
        <v>67</v>
      </c>
      <c r="O4" s="27" t="s">
        <v>68</v>
      </c>
      <c r="P4" s="27" t="s">
        <v>69</v>
      </c>
      <c r="Q4" s="27" t="s">
        <v>70</v>
      </c>
      <c r="R4" s="27" t="s">
        <v>71</v>
      </c>
      <c r="S4" s="27" t="s">
        <v>72</v>
      </c>
      <c r="T4" s="28"/>
      <c r="U4" s="27" t="s">
        <v>73</v>
      </c>
      <c r="V4" s="27" t="s">
        <v>74</v>
      </c>
      <c r="W4" s="27" t="s">
        <v>75</v>
      </c>
      <c r="X4" s="27" t="s">
        <v>76</v>
      </c>
      <c r="Y4" s="27" t="s">
        <v>77</v>
      </c>
      <c r="Z4" s="27" t="s">
        <v>78</v>
      </c>
      <c r="AA4" s="27" t="s">
        <v>79</v>
      </c>
      <c r="AB4" s="28"/>
      <c r="AC4" s="27" t="s">
        <v>80</v>
      </c>
      <c r="AD4" s="27" t="s">
        <v>81</v>
      </c>
      <c r="AE4" s="27" t="s">
        <v>82</v>
      </c>
      <c r="AF4" s="27" t="s">
        <v>83</v>
      </c>
      <c r="AG4" s="27" t="s">
        <v>84</v>
      </c>
      <c r="AH4" s="27" t="s">
        <v>85</v>
      </c>
      <c r="AI4" s="27" t="s">
        <v>86</v>
      </c>
    </row>
    <row r="5" customFormat="false" ht="15" hidden="false" customHeight="false" outlineLevel="0" collapsed="false">
      <c r="A5" s="19" t="n">
        <v>1</v>
      </c>
      <c r="B5" s="14" t="n">
        <f aca="false">Ввод!B5</f>
        <v>30</v>
      </c>
      <c r="C5" s="14" t="n">
        <f aca="false">Ввод!B6</f>
        <v>45</v>
      </c>
      <c r="D5" s="14" t="n">
        <f aca="false">Ввод!B7</f>
        <v>60</v>
      </c>
      <c r="E5" s="14" t="n">
        <f aca="false">Ввод!B8</f>
        <v>40</v>
      </c>
      <c r="F5" s="14" t="n">
        <f aca="false">Ввод!B9</f>
        <v>25</v>
      </c>
      <c r="G5" s="14" t="n">
        <f aca="false">Ввод!B10</f>
        <v>12</v>
      </c>
      <c r="H5" s="14" t="n">
        <f aca="false">Ввод!B11</f>
        <v>7</v>
      </c>
      <c r="I5" s="14" t="n">
        <f aca="false">Ввод!B12</f>
        <v>3</v>
      </c>
      <c r="J5" s="19" t="n">
        <f aca="false">SUM(B5:I5)</f>
        <v>222</v>
      </c>
      <c r="K5" s="20"/>
      <c r="L5" s="29" t="n">
        <f aca="false">IF(Ввод!$C$5=0,0,(Ввод!$C$5-IF($J5=0,0,B5/$J5))/Ввод!$C$5)</f>
        <v>-0.351351351351351</v>
      </c>
      <c r="M5" s="29" t="n">
        <f aca="false">IF(Ввод!$C$6=0,0,(Ввод!$C$6-IF($J5=0,0,C5/$J5))/Ввод!$C$6)</f>
        <v>-0.351351351351352</v>
      </c>
      <c r="N5" s="29" t="n">
        <f aca="false">IF(Ввод!$C$7=0,0,(Ввод!$C$7-IF($J5=0,0,D5/$J5))/Ввод!$C$7)</f>
        <v>-0.351351351351351</v>
      </c>
      <c r="O5" s="29" t="n">
        <f aca="false">IF(Ввод!$C$8=0,0,(Ввод!$C$8-IF($J5=0,0,E5/$J5))/Ввод!$C$8)</f>
        <v>0.0990990990990992</v>
      </c>
      <c r="P5" s="29" t="n">
        <f aca="false">IF(Ввод!$C$9=0,0,(Ввод!$C$9-IF($J5=0,0,F5/$J5))/Ввод!$C$9)</f>
        <v>0.249249249249249</v>
      </c>
      <c r="Q5" s="29" t="n">
        <f aca="false">IF(Ввод!$C$10=0,0,(Ввод!$C$10-IF($J5=0,0,G5/$J5))/Ввод!$C$10)</f>
        <v>0.45945945945946</v>
      </c>
      <c r="R5" s="29" t="n">
        <f aca="false">IF(Ввод!$C$11=0,0,(Ввод!$C$11-IF($J5=0,0,H5/$J5))/Ввод!$C$11)</f>
        <v>0.54954954954955</v>
      </c>
      <c r="S5" s="29" t="n">
        <f aca="false">IF(Ввод!$C$12=0,0,(Ввод!$C$12-IF($J5=0,0,I5/$J5))/Ввод!$C$12)</f>
        <v>0.54954954954955</v>
      </c>
      <c r="T5" s="29"/>
      <c r="U5" s="29" t="n">
        <f aca="false">MIN(Ввод!$B$20,MAX(Ввод!$B$19,Ввод!$B$18+Ввод!$B$21*M5))</f>
        <v>0.164864864864865</v>
      </c>
      <c r="V5" s="29" t="n">
        <f aca="false">MIN(Ввод!$B$20,MAX(Ввод!$B$19,Ввод!$B$18+Ввод!$B$21*N5))</f>
        <v>0.164864864864865</v>
      </c>
      <c r="W5" s="29" t="n">
        <f aca="false">MIN(Ввод!$B$20,MAX(Ввод!$B$19,Ввод!$B$18+Ввод!$B$21*O5))</f>
        <v>0.20990990990991</v>
      </c>
      <c r="X5" s="29" t="n">
        <f aca="false">MIN(Ввод!$B$20,MAX(Ввод!$B$19,Ввод!$B$18+Ввод!$B$21*P5))</f>
        <v>0.224924924924925</v>
      </c>
      <c r="Y5" s="29" t="n">
        <f aca="false">MIN(Ввод!$B$20,MAX(Ввод!$B$19,Ввод!$B$18+Ввод!$B$21*Q5))</f>
        <v>0.245945945945946</v>
      </c>
      <c r="Z5" s="29" t="n">
        <f aca="false">MIN(Ввод!$B$20,MAX(Ввод!$B$19,Ввод!$B$18+Ввод!$B$21*R5))</f>
        <v>0.254954954954955</v>
      </c>
      <c r="AA5" s="29" t="n">
        <f aca="false">MIN(Ввод!$B$20,MAX(Ввод!$B$19,Ввод!$B$18+Ввод!$B$21*S5))</f>
        <v>0.254954954954955</v>
      </c>
      <c r="AB5" s="29"/>
      <c r="AC5" s="29" t="n">
        <f aca="false">MIN(Ввод!$B$20,MAX(Ввод!$B$19,Ввод!$B$18-Ввод!$B$21*M5))</f>
        <v>0.235135135135135</v>
      </c>
      <c r="AD5" s="29" t="n">
        <f aca="false">MIN(Ввод!$B$20,MAX(Ввод!$B$19,Ввод!$B$18-Ввод!$B$21*N5))</f>
        <v>0.235135135135135</v>
      </c>
      <c r="AE5" s="29" t="n">
        <f aca="false">MIN(Ввод!$B$20,MAX(Ввод!$B$19,Ввод!$B$18-Ввод!$B$21*O5))</f>
        <v>0.19009009009009</v>
      </c>
      <c r="AF5" s="29" t="n">
        <f aca="false">MIN(Ввод!$B$20,MAX(Ввод!$B$19,Ввод!$B$18-Ввод!$B$21*P5))</f>
        <v>0.175075075075075</v>
      </c>
      <c r="AG5" s="29" t="n">
        <f aca="false">MIN(Ввод!$B$20,MAX(Ввод!$B$19,Ввод!$B$18-Ввод!$B$21*Q5))</f>
        <v>0.154054054054054</v>
      </c>
      <c r="AH5" s="29" t="n">
        <f aca="false">MIN(Ввод!$B$20,MAX(Ввод!$B$19,Ввод!$B$18-Ввод!$B$21*R5))</f>
        <v>0.145045045045045</v>
      </c>
      <c r="AI5" s="29" t="n">
        <f aca="false">IF(I5&lt;Ввод!$B$22,0,MIN(Ввод!$B$20,MAX(Ввод!$B$19,Ввод!$B$18-Ввод!$B$21*S5)))</f>
        <v>0</v>
      </c>
    </row>
    <row r="6" customFormat="false" ht="15" hidden="false" customHeight="false" outlineLevel="0" collapsed="false">
      <c r="A6" s="19" t="n">
        <v>2</v>
      </c>
      <c r="B6" s="19" t="n">
        <f aca="false">(B5-B5*U5+C5*AC5)*(1-Ввод!$B$24)+Ввод!$B$23*Ввод!$D$5</f>
        <v>47.0716216216216</v>
      </c>
      <c r="C6" s="19" t="n">
        <f aca="false">(C5-C5*V5-C5*AC5+B5*U5+D5*AD5)*(1-Ввод!$B$24)+Ввод!$B$23*Ввод!$D$6</f>
        <v>51.4486486486486</v>
      </c>
      <c r="D6" s="19" t="n">
        <f aca="false">(D5-D5*W5-D5*AD5+C5*V5+E5*AE5)*(1-Ввод!$B$24)+Ввод!$B$23*Ввод!$D$7</f>
        <v>53.4878378378378</v>
      </c>
      <c r="E6" s="19" t="n">
        <f aca="false">(E5-E5*X5-E5*AE5+D5*W5+F5*AF5)*(1-Ввод!$B$24)+Ввод!$B$23*Ввод!$D$8</f>
        <v>43.8337837837838</v>
      </c>
      <c r="F6" s="19" t="n">
        <f aca="false">(F5-F5*Y5-F5*AF5+E5*X5+G5*AG5)*(1-Ввод!$B$24)+Ввод!$B$23*Ввод!$D$9</f>
        <v>30.2881081081081</v>
      </c>
      <c r="G6" s="19" t="n">
        <f aca="false">(G5-G5*Z5-G5*AG5+F5*Y5+H5*AH5)*(1-Ввод!$B$24)+Ввод!$B$23*Ввод!$D$10</f>
        <v>12.8302702702703</v>
      </c>
      <c r="H6" s="19" t="n">
        <f aca="false">(H5-H5*AA5-H5*AH5+G5*Z5+I5*AI5)*(1-Ввод!$B$24)+Ввод!$B$23*Ввод!$D$11</f>
        <v>6.53351351351351</v>
      </c>
      <c r="I6" s="19" t="n">
        <f aca="false">(I5-I5*AI5+H5*AA5)*(1-Ввод!$B$24)+Ввод!$B$23*Ввод!$D$12</f>
        <v>4.30621621621622</v>
      </c>
      <c r="J6" s="19" t="n">
        <f aca="false">SUM(B6:I6)</f>
        <v>249.8</v>
      </c>
      <c r="K6" s="20"/>
      <c r="L6" s="29" t="n">
        <f aca="false">IF(Ввод!$C$5=0,0,(Ввод!$C$5-IF($J6=0,0,B6/$J6))/Ввод!$C$5)</f>
        <v>-0.884372362755069</v>
      </c>
      <c r="M6" s="29" t="n">
        <f aca="false">IF(Ввод!$C$6=0,0,(Ввод!$C$6-IF($J6=0,0,C6/$J6))/Ввод!$C$6)</f>
        <v>-0.37306241389508</v>
      </c>
      <c r="N6" s="29" t="n">
        <f aca="false">IF(Ввод!$C$7=0,0,(Ввод!$C$7-IF($J6=0,0,D6/$J6))/Ввод!$C$7)</f>
        <v>-0.0706132473546402</v>
      </c>
      <c r="O6" s="29" t="n">
        <f aca="false">IF(Ввод!$C$8=0,0,(Ввод!$C$8-IF($J6=0,0,E6/$J6))/Ввод!$C$8)</f>
        <v>0.122622422262134</v>
      </c>
      <c r="P6" s="29" t="n">
        <f aca="false">IF(Ввод!$C$9=0,0,(Ввод!$C$9-IF($J6=0,0,F6/$J6))/Ввод!$C$9)</f>
        <v>0.191670453479901</v>
      </c>
      <c r="Q6" s="29" t="n">
        <f aca="false">IF(Ввод!$C$10=0,0,(Ввод!$C$10-IF($J6=0,0,G6/$J6))/Ввод!$C$10)</f>
        <v>0.486378291822647</v>
      </c>
      <c r="R6" s="29" t="n">
        <f aca="false">IF(Ввод!$C$11=0,0,(Ввод!$C$11-IF($J6=0,0,H6/$J6))/Ввод!$C$11)</f>
        <v>0.626357456621668</v>
      </c>
      <c r="S6" s="29" t="n">
        <f aca="false">IF(Ввод!$C$12=0,0,(Ввод!$C$12-IF($J6=0,0,I6/$J6))/Ввод!$C$12)</f>
        <v>0.425378140350118</v>
      </c>
      <c r="T6" s="29"/>
      <c r="U6" s="29" t="n">
        <f aca="false">MIN(Ввод!$B$20,MAX(Ввод!$B$19,Ввод!$B$18+Ввод!$B$21*M6))</f>
        <v>0.162693758610492</v>
      </c>
      <c r="V6" s="29" t="n">
        <f aca="false">MIN(Ввод!$B$20,MAX(Ввод!$B$19,Ввод!$B$18+Ввод!$B$21*N6))</f>
        <v>0.192938675264536</v>
      </c>
      <c r="W6" s="29" t="n">
        <f aca="false">MIN(Ввод!$B$20,MAX(Ввод!$B$19,Ввод!$B$18+Ввод!$B$21*O6))</f>
        <v>0.212262242226213</v>
      </c>
      <c r="X6" s="29" t="n">
        <f aca="false">MIN(Ввод!$B$20,MAX(Ввод!$B$19,Ввод!$B$18+Ввод!$B$21*P6))</f>
        <v>0.21916704534799</v>
      </c>
      <c r="Y6" s="29" t="n">
        <f aca="false">MIN(Ввод!$B$20,MAX(Ввод!$B$19,Ввод!$B$18+Ввод!$B$21*Q6))</f>
        <v>0.248637829182265</v>
      </c>
      <c r="Z6" s="29" t="n">
        <f aca="false">MIN(Ввод!$B$20,MAX(Ввод!$B$19,Ввод!$B$18+Ввод!$B$21*R6))</f>
        <v>0.262635745662167</v>
      </c>
      <c r="AA6" s="29" t="n">
        <f aca="false">MIN(Ввод!$B$20,MAX(Ввод!$B$19,Ввод!$B$18+Ввод!$B$21*S6))</f>
        <v>0.242537814035012</v>
      </c>
      <c r="AB6" s="29"/>
      <c r="AC6" s="29" t="n">
        <f aca="false">MIN(Ввод!$B$20,MAX(Ввод!$B$19,Ввод!$B$18-Ввод!$B$21*M6))</f>
        <v>0.237306241389508</v>
      </c>
      <c r="AD6" s="29" t="n">
        <f aca="false">MIN(Ввод!$B$20,MAX(Ввод!$B$19,Ввод!$B$18-Ввод!$B$21*N6))</f>
        <v>0.207061324735464</v>
      </c>
      <c r="AE6" s="29" t="n">
        <f aca="false">MIN(Ввод!$B$20,MAX(Ввод!$B$19,Ввод!$B$18-Ввод!$B$21*O6))</f>
        <v>0.187737757773787</v>
      </c>
      <c r="AF6" s="29" t="n">
        <f aca="false">MIN(Ввод!$B$20,MAX(Ввод!$B$19,Ввод!$B$18-Ввод!$B$21*P6))</f>
        <v>0.18083295465201</v>
      </c>
      <c r="AG6" s="29" t="n">
        <f aca="false">MIN(Ввод!$B$20,MAX(Ввод!$B$19,Ввод!$B$18-Ввод!$B$21*Q6))</f>
        <v>0.151362170817735</v>
      </c>
      <c r="AH6" s="29" t="n">
        <f aca="false">MIN(Ввод!$B$20,MAX(Ввод!$B$19,Ввод!$B$18-Ввод!$B$21*R6))</f>
        <v>0.137364254337833</v>
      </c>
      <c r="AI6" s="29" t="n">
        <f aca="false">IF(I6&lt;Ввод!$B$22,0,MIN(Ввод!$B$20,MAX(Ввод!$B$19,Ввод!$B$18-Ввод!$B$21*S6)))</f>
        <v>0</v>
      </c>
    </row>
    <row r="7" customFormat="false" ht="15" hidden="false" customHeight="false" outlineLevel="0" collapsed="false">
      <c r="A7" s="19" t="n">
        <v>3</v>
      </c>
      <c r="B7" s="19" t="n">
        <f aca="false">(B6-B6*U6+C6*AC6)*(1-Ввод!$B$24)+Ввод!$B$23*Ввод!$D$5</f>
        <v>61.4602032103404</v>
      </c>
      <c r="C7" s="19" t="n">
        <f aca="false">(C6-C6*V6-C6*AC6+B6*U6+D6*AD6)*(1-Ввод!$B$24)+Ввод!$B$23*Ввод!$D$6</f>
        <v>53.2419856338687</v>
      </c>
      <c r="D7" s="19" t="n">
        <f aca="false">(D6-D6*W6-D6*AD6+C6*V6+E6*AE6)*(1-Ввод!$B$24)+Ввод!$B$23*Ввод!$D$7</f>
        <v>54.2933355550035</v>
      </c>
      <c r="E7" s="19" t="n">
        <f aca="false">(E6-E6*X6-E6*AE6+D6*W6+F6*AF6)*(1-Ввод!$B$24)+Ввод!$B$23*Ввод!$D$8</f>
        <v>46.0453287850149</v>
      </c>
      <c r="F7" s="19" t="n">
        <f aca="false">(F6-F6*Y6-F6*AF6+E6*X6+G6*AG6)*(1-Ввод!$B$24)+Ввод!$B$23*Ввод!$D$9</f>
        <v>33.4462701149963</v>
      </c>
      <c r="G7" s="19" t="n">
        <f aca="false">(G6-G6*Z6-G6*AG6+F6*Y6+H6*AH6)*(1-Ввод!$B$24)+Ввод!$B$23*Ввод!$D$10</f>
        <v>14.3521251952788</v>
      </c>
      <c r="H7" s="19" t="n">
        <f aca="false">(H6-H6*AA6-H6*AH6+G6*Z6+I6*AI6)*(1-Ввод!$B$24)+Ввод!$B$23*Ввод!$D$11</f>
        <v>6.67899523392062</v>
      </c>
      <c r="I7" s="19" t="n">
        <f aca="false">(I6-I6*AI6+H6*AA6)*(1-Ввод!$B$24)+Ввод!$B$23*Ввод!$D$12</f>
        <v>5.3017562715768</v>
      </c>
      <c r="J7" s="19" t="n">
        <f aca="false">SUM(B7:I7)</f>
        <v>274.82</v>
      </c>
      <c r="K7" s="20"/>
      <c r="L7" s="29" t="n">
        <f aca="false">IF(Ввод!$C$5=0,0,(Ввод!$C$5-IF($J7=0,0,B7/$J7))/Ввод!$C$5)</f>
        <v>-1.23638029293139</v>
      </c>
      <c r="M7" s="29" t="n">
        <f aca="false">IF(Ввод!$C$6=0,0,(Ввод!$C$6-IF($J7=0,0,C7/$J7))/Ввод!$C$6)</f>
        <v>-0.291560188095691</v>
      </c>
      <c r="N7" s="29" t="n">
        <f aca="false">IF(Ввод!$C$7=0,0,(Ввод!$C$7-IF($J7=0,0,D7/$J7))/Ввод!$C$7)</f>
        <v>0.0122018856887503</v>
      </c>
      <c r="O7" s="29" t="n">
        <f aca="false">IF(Ввод!$C$8=0,0,(Ввод!$C$8-IF($J7=0,0,E7/$J7))/Ввод!$C$8)</f>
        <v>0.162263867531205</v>
      </c>
      <c r="P7" s="29" t="n">
        <f aca="false">IF(Ввод!$C$9=0,0,(Ввод!$C$9-IF($J7=0,0,F7/$J7))/Ввод!$C$9)</f>
        <v>0.188650265264626</v>
      </c>
      <c r="Q7" s="29" t="n">
        <f aca="false">IF(Ввод!$C$10=0,0,(Ввод!$C$10-IF($J7=0,0,G7/$J7))/Ввод!$C$10)</f>
        <v>0.477762710309336</v>
      </c>
      <c r="R7" s="29" t="n">
        <f aca="false">IF(Ввод!$C$11=0,0,(Ввод!$C$11-IF($J7=0,0,H7/$J7))/Ввод!$C$11)</f>
        <v>0.652811958272915</v>
      </c>
      <c r="S7" s="29" t="n">
        <f aca="false">IF(Ввод!$C$12=0,0,(Ввод!$C$12-IF($J7=0,0,I7/$J7))/Ввод!$C$12)</f>
        <v>0.356941965458992</v>
      </c>
      <c r="T7" s="29"/>
      <c r="U7" s="29" t="n">
        <f aca="false">MIN(Ввод!$B$20,MAX(Ввод!$B$19,Ввод!$B$18+Ввод!$B$21*M7))</f>
        <v>0.170843981190431</v>
      </c>
      <c r="V7" s="29" t="n">
        <f aca="false">MIN(Ввод!$B$20,MAX(Ввод!$B$19,Ввод!$B$18+Ввод!$B$21*N7))</f>
        <v>0.201220188568875</v>
      </c>
      <c r="W7" s="29" t="n">
        <f aca="false">MIN(Ввод!$B$20,MAX(Ввод!$B$19,Ввод!$B$18+Ввод!$B$21*O7))</f>
        <v>0.21622638675312</v>
      </c>
      <c r="X7" s="29" t="n">
        <f aca="false">MIN(Ввод!$B$20,MAX(Ввод!$B$19,Ввод!$B$18+Ввод!$B$21*P7))</f>
        <v>0.218865026526463</v>
      </c>
      <c r="Y7" s="29" t="n">
        <f aca="false">MIN(Ввод!$B$20,MAX(Ввод!$B$19,Ввод!$B$18+Ввод!$B$21*Q7))</f>
        <v>0.247776271030934</v>
      </c>
      <c r="Z7" s="29" t="n">
        <f aca="false">MIN(Ввод!$B$20,MAX(Ввод!$B$19,Ввод!$B$18+Ввод!$B$21*R7))</f>
        <v>0.265281195827292</v>
      </c>
      <c r="AA7" s="29" t="n">
        <f aca="false">MIN(Ввод!$B$20,MAX(Ввод!$B$19,Ввод!$B$18+Ввод!$B$21*S7))</f>
        <v>0.235694196545899</v>
      </c>
      <c r="AB7" s="29"/>
      <c r="AC7" s="29" t="n">
        <f aca="false">MIN(Ввод!$B$20,MAX(Ввод!$B$19,Ввод!$B$18-Ввод!$B$21*M7))</f>
        <v>0.229156018809569</v>
      </c>
      <c r="AD7" s="29" t="n">
        <f aca="false">MIN(Ввод!$B$20,MAX(Ввод!$B$19,Ввод!$B$18-Ввод!$B$21*N7))</f>
        <v>0.198779811431125</v>
      </c>
      <c r="AE7" s="29" t="n">
        <f aca="false">MIN(Ввод!$B$20,MAX(Ввод!$B$19,Ввод!$B$18-Ввод!$B$21*O7))</f>
        <v>0.18377361324688</v>
      </c>
      <c r="AF7" s="29" t="n">
        <f aca="false">MIN(Ввод!$B$20,MAX(Ввод!$B$19,Ввод!$B$18-Ввод!$B$21*P7))</f>
        <v>0.181134973473537</v>
      </c>
      <c r="AG7" s="29" t="n">
        <f aca="false">MIN(Ввод!$B$20,MAX(Ввод!$B$19,Ввод!$B$18-Ввод!$B$21*Q7))</f>
        <v>0.152223728969066</v>
      </c>
      <c r="AH7" s="29" t="n">
        <f aca="false">MIN(Ввод!$B$20,MAX(Ввод!$B$19,Ввод!$B$18-Ввод!$B$21*R7))</f>
        <v>0.134718804172708</v>
      </c>
      <c r="AI7" s="29" t="n">
        <f aca="false">IF(I7&lt;Ввод!$B$22,0,MIN(Ввод!$B$20,MAX(Ввод!$B$19,Ввод!$B$18-Ввод!$B$21*S7)))</f>
        <v>0</v>
      </c>
    </row>
    <row r="8" customFormat="false" ht="15" hidden="false" customHeight="false" outlineLevel="0" collapsed="false">
      <c r="A8" s="19" t="n">
        <v>4</v>
      </c>
      <c r="B8" s="19" t="n">
        <f aca="false">(B7-B7*U7+C7*AC7)*(1-Ввод!$B$24)+Ввод!$B$23*Ввод!$D$5</f>
        <v>71.8447369834379</v>
      </c>
      <c r="C8" s="19" t="n">
        <f aca="false">(C7-C7*V7-C7*AC7+B7*U7+D7*AD7)*(1-Ввод!$B$24)+Ввод!$B$23*Ввод!$D$6</f>
        <v>56.4583839294561</v>
      </c>
      <c r="D8" s="19" t="n">
        <f aca="false">(D7-D7*W7-D7*AD7+C7*V7+E7*AE7)*(1-Ввод!$B$24)+Ввод!$B$23*Ввод!$D$7</f>
        <v>55.842889251314</v>
      </c>
      <c r="E8" s="19" t="n">
        <f aca="false">(E7-E7*X7-E7*AE7+D7*W7+F7*AF7)*(1-Ввод!$B$24)+Ввод!$B$23*Ввод!$D$8</f>
        <v>48.2732771313017</v>
      </c>
      <c r="F8" s="19" t="n">
        <f aca="false">(F7-F7*Y7-F7*AF7+E7*X7+G7*AG7)*(1-Ввод!$B$24)+Ввод!$B$23*Ввод!$D$9</f>
        <v>35.7269114079739</v>
      </c>
      <c r="G8" s="19" t="n">
        <f aca="false">(G7-G7*Z7-G7*AG7+F7*Y7+H7*AH7)*(1-Ввод!$B$24)+Ввод!$B$23*Ввод!$D$10</f>
        <v>15.792318526439</v>
      </c>
      <c r="H8" s="19" t="n">
        <f aca="false">(H7-H7*AA7-H7*AH7+G7*Z7+I7*AI7)*(1-Ввод!$B$24)+Ввод!$B$23*Ввод!$D$11</f>
        <v>7.21112175180484</v>
      </c>
      <c r="I8" s="19" t="n">
        <f aca="false">(I7-I7*AI7+H7*AA7)*(1-Ввод!$B$24)+Ввод!$B$23*Ввод!$D$12</f>
        <v>6.18836101827265</v>
      </c>
      <c r="J8" s="19" t="n">
        <f aca="false">SUM(B8:I8)</f>
        <v>297.338</v>
      </c>
      <c r="K8" s="20"/>
      <c r="L8" s="29" t="n">
        <f aca="false">IF(Ввод!$C$5=0,0,(Ввод!$C$5-IF($J8=0,0,B8/$J8))/Ввод!$C$5)</f>
        <v>-1.41626488990435</v>
      </c>
      <c r="M8" s="29" t="n">
        <f aca="false">IF(Ввод!$C$6=0,0,(Ввод!$C$6-IF($J8=0,0,C8/$J8))/Ввод!$C$6)</f>
        <v>-0.265863179937895</v>
      </c>
      <c r="N8" s="29" t="n">
        <f aca="false">IF(Ввод!$C$7=0,0,(Ввод!$C$7-IF($J8=0,0,D8/$J8))/Ввод!$C$7)</f>
        <v>0.0609526994310515</v>
      </c>
      <c r="O8" s="29" t="n">
        <f aca="false">IF(Ввод!$C$8=0,0,(Ввод!$C$8-IF($J8=0,0,E8/$J8))/Ввод!$C$8)</f>
        <v>0.188242385243364</v>
      </c>
      <c r="P8" s="29" t="n">
        <f aca="false">IF(Ввод!$C$9=0,0,(Ввод!$C$9-IF($J8=0,0,F8/$J8))/Ввод!$C$9)</f>
        <v>0.198960747074062</v>
      </c>
      <c r="Q8" s="29" t="n">
        <f aca="false">IF(Ввод!$C$10=0,0,(Ввод!$C$10-IF($J8=0,0,G8/$J8))/Ввод!$C$10)</f>
        <v>0.468876547012526</v>
      </c>
      <c r="R8" s="29" t="n">
        <f aca="false">IF(Ввод!$C$11=0,0,(Ввод!$C$11-IF($J8=0,0,H8/$J8))/Ввод!$C$11)</f>
        <v>0.653538985848484</v>
      </c>
      <c r="S8" s="29" t="n">
        <f aca="false">IF(Ввод!$C$12=0,0,(Ввод!$C$12-IF($J8=0,0,I8/$J8))/Ввод!$C$12)</f>
        <v>0.306248442482669</v>
      </c>
      <c r="T8" s="29"/>
      <c r="U8" s="29" t="n">
        <f aca="false">MIN(Ввод!$B$20,MAX(Ввод!$B$19,Ввод!$B$18+Ввод!$B$21*M8))</f>
        <v>0.173413682006211</v>
      </c>
      <c r="V8" s="29" t="n">
        <f aca="false">MIN(Ввод!$B$20,MAX(Ввод!$B$19,Ввод!$B$18+Ввод!$B$21*N8))</f>
        <v>0.206095269943105</v>
      </c>
      <c r="W8" s="29" t="n">
        <f aca="false">MIN(Ввод!$B$20,MAX(Ввод!$B$19,Ввод!$B$18+Ввод!$B$21*O8))</f>
        <v>0.218824238524336</v>
      </c>
      <c r="X8" s="29" t="n">
        <f aca="false">MIN(Ввод!$B$20,MAX(Ввод!$B$19,Ввод!$B$18+Ввод!$B$21*P8))</f>
        <v>0.219896074707406</v>
      </c>
      <c r="Y8" s="29" t="n">
        <f aca="false">MIN(Ввод!$B$20,MAX(Ввод!$B$19,Ввод!$B$18+Ввод!$B$21*Q8))</f>
        <v>0.246887654701253</v>
      </c>
      <c r="Z8" s="29" t="n">
        <f aca="false">MIN(Ввод!$B$20,MAX(Ввод!$B$19,Ввод!$B$18+Ввод!$B$21*R8))</f>
        <v>0.265353898584848</v>
      </c>
      <c r="AA8" s="29" t="n">
        <f aca="false">MIN(Ввод!$B$20,MAX(Ввод!$B$19,Ввод!$B$18+Ввод!$B$21*S8))</f>
        <v>0.230624844248267</v>
      </c>
      <c r="AB8" s="29"/>
      <c r="AC8" s="29" t="n">
        <f aca="false">MIN(Ввод!$B$20,MAX(Ввод!$B$19,Ввод!$B$18-Ввод!$B$21*M8))</f>
        <v>0.226586317993789</v>
      </c>
      <c r="AD8" s="29" t="n">
        <f aca="false">MIN(Ввод!$B$20,MAX(Ввод!$B$19,Ввод!$B$18-Ввод!$B$21*N8))</f>
        <v>0.193904730056895</v>
      </c>
      <c r="AE8" s="29" t="n">
        <f aca="false">MIN(Ввод!$B$20,MAX(Ввод!$B$19,Ввод!$B$18-Ввод!$B$21*O8))</f>
        <v>0.181175761475664</v>
      </c>
      <c r="AF8" s="29" t="n">
        <f aca="false">MIN(Ввод!$B$20,MAX(Ввод!$B$19,Ввод!$B$18-Ввод!$B$21*P8))</f>
        <v>0.180103925292594</v>
      </c>
      <c r="AG8" s="29" t="n">
        <f aca="false">MIN(Ввод!$B$20,MAX(Ввод!$B$19,Ввод!$B$18-Ввод!$B$21*Q8))</f>
        <v>0.153112345298747</v>
      </c>
      <c r="AH8" s="29" t="n">
        <f aca="false">MIN(Ввод!$B$20,MAX(Ввод!$B$19,Ввод!$B$18-Ввод!$B$21*R8))</f>
        <v>0.134646101415152</v>
      </c>
      <c r="AI8" s="29" t="n">
        <f aca="false">IF(I8&lt;Ввод!$B$22,0,MIN(Ввод!$B$20,MAX(Ввод!$B$19,Ввод!$B$18-Ввод!$B$21*S8)))</f>
        <v>0</v>
      </c>
    </row>
    <row r="9" customFormat="false" ht="15" hidden="false" customHeight="false" outlineLevel="0" collapsed="false">
      <c r="A9" s="19" t="n">
        <v>5</v>
      </c>
      <c r="B9" s="19" t="n">
        <f aca="false">(B8-B8*U8+C8*AC8)*(1-Ввод!$B$24)+Ввод!$B$23*Ввод!$D$5</f>
        <v>79.9607165503446</v>
      </c>
      <c r="C9" s="19" t="n">
        <f aca="false">(C8-C8*V8-C8*AC8+B8*U8+D8*AD8)*(1-Ввод!$B$24)+Ввод!$B$23*Ввод!$D$6</f>
        <v>59.7852473117023</v>
      </c>
      <c r="D9" s="19" t="n">
        <f aca="false">(D8-D8*W8-D8*AD8+C8*V8+E8*AE8)*(1-Ввод!$B$24)+Ввод!$B$23*Ввод!$D$7</f>
        <v>57.8589983089348</v>
      </c>
      <c r="E9" s="19" t="n">
        <f aca="false">(E8-E8*X8-E8*AE8+D8*W8+F8*AF8)*(1-Ввод!$B$24)+Ввод!$B$23*Ввод!$D$8</f>
        <v>50.3099039408258</v>
      </c>
      <c r="F9" s="19" t="n">
        <f aca="false">(F8-F8*Y8-F8*AF8+E8*X8+G8*AG8)*(1-Ввод!$B$24)+Ввод!$B$23*Ввод!$D$9</f>
        <v>37.6544317253762</v>
      </c>
      <c r="G9" s="19" t="n">
        <f aca="false">(G8-G8*Z8-G8*AG8+F8*Y8+H8*AH8)*(1-Ввод!$B$24)+Ввод!$B$23*Ввод!$D$10</f>
        <v>17.0777241975702</v>
      </c>
      <c r="H9" s="19" t="n">
        <f aca="false">(H8-H8*AA8-H8*AH8+G8*Z8+I8*AI8)*(1-Ввод!$B$24)+Ввод!$B$23*Ввод!$D$11</f>
        <v>7.89089560102201</v>
      </c>
      <c r="I9" s="19" t="n">
        <f aca="false">(I8-I8*AI8+H8*AA8)*(1-Ввод!$B$24)+Ввод!$B$23*Ввод!$D$12</f>
        <v>7.06628236422413</v>
      </c>
      <c r="J9" s="19" t="n">
        <f aca="false">SUM(B9:I9)</f>
        <v>317.6042</v>
      </c>
      <c r="K9" s="20"/>
      <c r="L9" s="29" t="n">
        <f aca="false">IF(Ввод!$C$5=0,0,(Ввод!$C$5-IF($J9=0,0,B9/$J9))/Ввод!$C$5)</f>
        <v>-1.517621509739</v>
      </c>
      <c r="M9" s="29" t="n">
        <f aca="false">IF(Ввод!$C$6=0,0,(Ввод!$C$6-IF($J9=0,0,C9/$J9))/Ввод!$C$6)</f>
        <v>-0.254921425508065</v>
      </c>
      <c r="N9" s="29" t="n">
        <f aca="false">IF(Ввод!$C$7=0,0,(Ввод!$C$7-IF($J9=0,0,D9/$J9))/Ввод!$C$7)</f>
        <v>0.0891336086088478</v>
      </c>
      <c r="O9" s="29" t="n">
        <f aca="false">IF(Ввод!$C$8=0,0,(Ввод!$C$8-IF($J9=0,0,E9/$J9))/Ввод!$C$8)</f>
        <v>0.207977981071633</v>
      </c>
      <c r="P9" s="29" t="n">
        <f aca="false">IF(Ввод!$C$9=0,0,(Ввод!$C$9-IF($J9=0,0,F9/$J9))/Ввод!$C$9)</f>
        <v>0.209615159888183</v>
      </c>
      <c r="Q9" s="29" t="n">
        <f aca="false">IF(Ввод!$C$10=0,0,(Ввод!$C$10-IF($J9=0,0,G9/$J9))/Ввод!$C$10)</f>
        <v>0.462295391636187</v>
      </c>
      <c r="R9" s="29" t="n">
        <f aca="false">IF(Ввод!$C$11=0,0,(Ввод!$C$11-IF($J9=0,0,H9/$J9))/Ввод!$C$11)</f>
        <v>0.645070562622912</v>
      </c>
      <c r="S9" s="29" t="n">
        <f aca="false">IF(Ввод!$C$12=0,0,(Ввод!$C$12-IF($J9=0,0,I9/$J9))/Ввод!$C$12)</f>
        <v>0.258376477785439</v>
      </c>
      <c r="T9" s="29"/>
      <c r="U9" s="29" t="n">
        <f aca="false">MIN(Ввод!$B$20,MAX(Ввод!$B$19,Ввод!$B$18+Ввод!$B$21*M9))</f>
        <v>0.174507857449193</v>
      </c>
      <c r="V9" s="29" t="n">
        <f aca="false">MIN(Ввод!$B$20,MAX(Ввод!$B$19,Ввод!$B$18+Ввод!$B$21*N9))</f>
        <v>0.208913360860885</v>
      </c>
      <c r="W9" s="29" t="n">
        <f aca="false">MIN(Ввод!$B$20,MAX(Ввод!$B$19,Ввод!$B$18+Ввод!$B$21*O9))</f>
        <v>0.220797798107163</v>
      </c>
      <c r="X9" s="29" t="n">
        <f aca="false">MIN(Ввод!$B$20,MAX(Ввод!$B$19,Ввод!$B$18+Ввод!$B$21*P9))</f>
        <v>0.220961515988818</v>
      </c>
      <c r="Y9" s="29" t="n">
        <f aca="false">MIN(Ввод!$B$20,MAX(Ввод!$B$19,Ввод!$B$18+Ввод!$B$21*Q9))</f>
        <v>0.246229539163619</v>
      </c>
      <c r="Z9" s="29" t="n">
        <f aca="false">MIN(Ввод!$B$20,MAX(Ввод!$B$19,Ввод!$B$18+Ввод!$B$21*R9))</f>
        <v>0.264507056262291</v>
      </c>
      <c r="AA9" s="29" t="n">
        <f aca="false">MIN(Ввод!$B$20,MAX(Ввод!$B$19,Ввод!$B$18+Ввод!$B$21*S9))</f>
        <v>0.225837647778544</v>
      </c>
      <c r="AB9" s="29"/>
      <c r="AC9" s="29" t="n">
        <f aca="false">MIN(Ввод!$B$20,MAX(Ввод!$B$19,Ввод!$B$18-Ввод!$B$21*M9))</f>
        <v>0.225492142550807</v>
      </c>
      <c r="AD9" s="29" t="n">
        <f aca="false">MIN(Ввод!$B$20,MAX(Ввод!$B$19,Ввод!$B$18-Ввод!$B$21*N9))</f>
        <v>0.191086639139115</v>
      </c>
      <c r="AE9" s="29" t="n">
        <f aca="false">MIN(Ввод!$B$20,MAX(Ввод!$B$19,Ввод!$B$18-Ввод!$B$21*O9))</f>
        <v>0.179202201892837</v>
      </c>
      <c r="AF9" s="29" t="n">
        <f aca="false">MIN(Ввод!$B$20,MAX(Ввод!$B$19,Ввод!$B$18-Ввод!$B$21*P9))</f>
        <v>0.179038484011182</v>
      </c>
      <c r="AG9" s="29" t="n">
        <f aca="false">MIN(Ввод!$B$20,MAX(Ввод!$B$19,Ввод!$B$18-Ввод!$B$21*Q9))</f>
        <v>0.153770460836381</v>
      </c>
      <c r="AH9" s="29" t="n">
        <f aca="false">MIN(Ввод!$B$20,MAX(Ввод!$B$19,Ввод!$B$18-Ввод!$B$21*R9))</f>
        <v>0.135492943737709</v>
      </c>
      <c r="AI9" s="29" t="n">
        <f aca="false">IF(I9&lt;Ввод!$B$22,0,MIN(Ввод!$B$20,MAX(Ввод!$B$19,Ввод!$B$18-Ввод!$B$21*S9)))</f>
        <v>0</v>
      </c>
    </row>
    <row r="10" customFormat="false" ht="15" hidden="false" customHeight="false" outlineLevel="0" collapsed="false">
      <c r="A10" s="19" t="n">
        <v>6</v>
      </c>
      <c r="B10" s="19" t="n">
        <f aca="false">(B9-B9*U9+C9*AC9)*(1-Ввод!$B$24)+Ввод!$B$23*Ввод!$D$5</f>
        <v>86.5392420608586</v>
      </c>
      <c r="C10" s="19" t="n">
        <f aca="false">(C9-C9*V9-C9*AC9+B9*U9+D9*AD9)*(1-Ввод!$B$24)+Ввод!$B$23*Ввод!$D$6</f>
        <v>62.9416555415045</v>
      </c>
      <c r="D10" s="19" t="n">
        <f aca="false">(D9-D9*W9-D9*AD9+C9*V9+E9*AE9)*(1-Ввод!$B$24)+Ввод!$B$23*Ввод!$D$7</f>
        <v>59.9800238738432</v>
      </c>
      <c r="E10" s="19" t="n">
        <f aca="false">(E9-E9*X9-E9*AE9+D9*W9+F9*AF9)*(1-Ввод!$B$24)+Ввод!$B$23*Ввод!$D$8</f>
        <v>52.2249937799779</v>
      </c>
      <c r="F10" s="19" t="n">
        <f aca="false">(F9-F9*Y9-F9*AF9+E9*X9+G9*AG9)*(1-Ввод!$B$24)+Ввод!$B$23*Ввод!$D$9</f>
        <v>39.3454273311018</v>
      </c>
      <c r="G10" s="19" t="n">
        <f aca="false">(G9-G9*Z9-G9*AG9+F9*Y9+H9*AH9)*(1-Ввод!$B$24)+Ввод!$B$23*Ввод!$D$10</f>
        <v>18.2477611506882</v>
      </c>
      <c r="H10" s="19" t="n">
        <f aca="false">(H9-H9*AA9-H9*AH9+G9*Z9+I9*AI9)*(1-Ввод!$B$24)+Ввод!$B$23*Ввод!$D$11</f>
        <v>8.60116696296329</v>
      </c>
      <c r="I10" s="19" t="n">
        <f aca="false">(I9-I9*AI9+H9*AA9)*(1-Ввод!$B$24)+Ввод!$B$23*Ввод!$D$12</f>
        <v>7.9635092990625</v>
      </c>
      <c r="J10" s="19" t="n">
        <f aca="false">SUM(B10:I10)</f>
        <v>335.84378</v>
      </c>
      <c r="K10" s="20"/>
      <c r="L10" s="29" t="n">
        <f aca="false">IF(Ввод!$C$5=0,0,(Ввод!$C$5-IF($J10=0,0,B10/$J10))/Ввод!$C$5)</f>
        <v>-1.57677072539079</v>
      </c>
      <c r="M10" s="29" t="n">
        <f aca="false">IF(Ввод!$C$6=0,0,(Ввод!$C$6-IF($J10=0,0,C10/$J10))/Ввод!$C$6)</f>
        <v>-0.249423279309694</v>
      </c>
      <c r="N10" s="29" t="n">
        <f aca="false">IF(Ввод!$C$7=0,0,(Ввод!$C$7-IF($J10=0,0,D10/$J10))/Ввод!$C$7)</f>
        <v>0.107024940675644</v>
      </c>
      <c r="O10" s="29" t="n">
        <f aca="false">IF(Ввод!$C$8=0,0,(Ввод!$C$8-IF($J10=0,0,E10/$J10))/Ввод!$C$8)</f>
        <v>0.222480854342785</v>
      </c>
      <c r="P10" s="29" t="n">
        <f aca="false">IF(Ввод!$C$9=0,0,(Ввод!$C$9-IF($J10=0,0,F10/$J10))/Ввод!$C$9)</f>
        <v>0.218973628530467</v>
      </c>
      <c r="Q10" s="29" t="n">
        <f aca="false">IF(Ввод!$C$10=0,0,(Ввод!$C$10-IF($J10=0,0,G10/$J10))/Ввод!$C$10)</f>
        <v>0.456659249407917</v>
      </c>
      <c r="R10" s="29" t="n">
        <f aca="false">IF(Ввод!$C$11=0,0,(Ввод!$C$11-IF($J10=0,0,H10/$J10))/Ввод!$C$11)</f>
        <v>0.634134019821304</v>
      </c>
      <c r="S10" s="29" t="n">
        <f aca="false">IF(Ввод!$C$12=0,0,(Ввод!$C$12-IF($J10=0,0,I10/$J10))/Ввод!$C$12)</f>
        <v>0.209601827466478</v>
      </c>
      <c r="T10" s="29"/>
      <c r="U10" s="29" t="n">
        <f aca="false">MIN(Ввод!$B$20,MAX(Ввод!$B$19,Ввод!$B$18+Ввод!$B$21*M10))</f>
        <v>0.175057672069031</v>
      </c>
      <c r="V10" s="29" t="n">
        <f aca="false">MIN(Ввод!$B$20,MAX(Ввод!$B$19,Ввод!$B$18+Ввод!$B$21*N10))</f>
        <v>0.210702494067564</v>
      </c>
      <c r="W10" s="29" t="n">
        <f aca="false">MIN(Ввод!$B$20,MAX(Ввод!$B$19,Ввод!$B$18+Ввод!$B$21*O10))</f>
        <v>0.222248085434279</v>
      </c>
      <c r="X10" s="29" t="n">
        <f aca="false">MIN(Ввод!$B$20,MAX(Ввод!$B$19,Ввод!$B$18+Ввод!$B$21*P10))</f>
        <v>0.221897362853047</v>
      </c>
      <c r="Y10" s="29" t="n">
        <f aca="false">MIN(Ввод!$B$20,MAX(Ввод!$B$19,Ввод!$B$18+Ввод!$B$21*Q10))</f>
        <v>0.245665924940792</v>
      </c>
      <c r="Z10" s="29" t="n">
        <f aca="false">MIN(Ввод!$B$20,MAX(Ввод!$B$19,Ввод!$B$18+Ввод!$B$21*R10))</f>
        <v>0.26341340198213</v>
      </c>
      <c r="AA10" s="29" t="n">
        <f aca="false">MIN(Ввод!$B$20,MAX(Ввод!$B$19,Ввод!$B$18+Ввод!$B$21*S10))</f>
        <v>0.220960182746648</v>
      </c>
      <c r="AB10" s="29"/>
      <c r="AC10" s="29" t="n">
        <f aca="false">MIN(Ввод!$B$20,MAX(Ввод!$B$19,Ввод!$B$18-Ввод!$B$21*M10))</f>
        <v>0.224942327930969</v>
      </c>
      <c r="AD10" s="29" t="n">
        <f aca="false">MIN(Ввод!$B$20,MAX(Ввод!$B$19,Ввод!$B$18-Ввод!$B$21*N10))</f>
        <v>0.189297505932436</v>
      </c>
      <c r="AE10" s="29" t="n">
        <f aca="false">MIN(Ввод!$B$20,MAX(Ввод!$B$19,Ввод!$B$18-Ввод!$B$21*O10))</f>
        <v>0.177751914565721</v>
      </c>
      <c r="AF10" s="29" t="n">
        <f aca="false">MIN(Ввод!$B$20,MAX(Ввод!$B$19,Ввод!$B$18-Ввод!$B$21*P10))</f>
        <v>0.178102637146953</v>
      </c>
      <c r="AG10" s="29" t="n">
        <f aca="false">MIN(Ввод!$B$20,MAX(Ввод!$B$19,Ввод!$B$18-Ввод!$B$21*Q10))</f>
        <v>0.154334075059208</v>
      </c>
      <c r="AH10" s="29" t="n">
        <f aca="false">MIN(Ввод!$B$20,MAX(Ввод!$B$19,Ввод!$B$18-Ввод!$B$21*R10))</f>
        <v>0.13658659801787</v>
      </c>
      <c r="AI10" s="29" t="n">
        <f aca="false">IF(I10&lt;Ввод!$B$22,0,MIN(Ввод!$B$20,MAX(Ввод!$B$19,Ввод!$B$18-Ввод!$B$21*S10)))</f>
        <v>0</v>
      </c>
    </row>
    <row r="11" customFormat="false" ht="15" hidden="false" customHeight="false" outlineLevel="0" collapsed="false">
      <c r="A11" s="19" t="n">
        <v>7</v>
      </c>
      <c r="B11" s="19" t="n">
        <f aca="false">(B10-B10*U10+C10*AC10)*(1-Ввод!$B$24)+Ввод!$B$23*Ввод!$D$5</f>
        <v>91.9933136919614</v>
      </c>
      <c r="C11" s="19" t="n">
        <f aca="false">(C10-C10*V10-C10*AC10+B10*U10+D10*AD10)*(1-Ввод!$B$24)+Ввод!$B$23*Ввод!$D$6</f>
        <v>65.8223887597403</v>
      </c>
      <c r="D11" s="19" t="n">
        <f aca="false">(D10-D10*W10-D10*AD10+C10*V10+E10*AE10)*(1-Ввод!$B$24)+Ввод!$B$23*Ввод!$D$7</f>
        <v>62.0565093229629</v>
      </c>
      <c r="E11" s="19" t="n">
        <f aca="false">(E10-E10*X10-E10*AE10+D10*W10+F10*AF10)*(1-Ввод!$B$24)+Ввод!$B$23*Ввод!$D$8</f>
        <v>54.0221543311954</v>
      </c>
      <c r="F11" s="19" t="n">
        <f aca="false">(F10-F10*Y10-F10*AF10+E10*X10+G10*AG10)*(1-Ввод!$B$24)+Ввод!$B$23*Ввод!$D$9</f>
        <v>40.8692207101437</v>
      </c>
      <c r="G11" s="19" t="n">
        <f aca="false">(G10-G10*Z10-G10*AG10+F10*Y10+H10*AH10)*(1-Ввод!$B$24)+Ввод!$B$23*Ввод!$D$10</f>
        <v>19.3188959102484</v>
      </c>
      <c r="H11" s="19" t="n">
        <f aca="false">(H10-H10*AA10-H10*AH10+G10*Z10+I10*AI10)*(1-Ввод!$B$24)+Ввод!$B$23*Ввод!$D$11</f>
        <v>9.29929702301801</v>
      </c>
      <c r="I11" s="19" t="n">
        <f aca="false">(I10-I10*AI10+H10*AA10)*(1-Ввод!$B$24)+Ввод!$B$23*Ввод!$D$12</f>
        <v>8.87762225072997</v>
      </c>
      <c r="J11" s="19" t="n">
        <f aca="false">SUM(B11:I11)</f>
        <v>352.259402</v>
      </c>
      <c r="K11" s="20"/>
      <c r="L11" s="29" t="n">
        <f aca="false">IF(Ввод!$C$5=0,0,(Ввод!$C$5-IF($J11=0,0,B11/$J11))/Ввод!$C$5)</f>
        <v>-1.61152188329558</v>
      </c>
      <c r="M11" s="29" t="n">
        <f aca="false">IF(Ввод!$C$6=0,0,(Ввод!$C$6-IF($J11=0,0,C11/$J11))/Ввод!$C$6)</f>
        <v>-0.245718134345028</v>
      </c>
      <c r="N11" s="29" t="n">
        <f aca="false">IF(Ввод!$C$7=0,0,(Ввод!$C$7-IF($J11=0,0,D11/$J11))/Ввод!$C$7)</f>
        <v>0.11916461319941</v>
      </c>
      <c r="O11" s="29" t="n">
        <f aca="false">IF(Ввод!$C$8=0,0,(Ввод!$C$8-IF($J11=0,0,E11/$J11))/Ввод!$C$8)</f>
        <v>0.23320493328954</v>
      </c>
      <c r="P11" s="29" t="n">
        <f aca="false">IF(Ввод!$C$9=0,0,(Ввод!$C$9-IF($J11=0,0,F11/$J11))/Ввод!$C$9)</f>
        <v>0.22653172675017</v>
      </c>
      <c r="Q11" s="29" t="n">
        <f aca="false">IF(Ввод!$C$10=0,0,(Ввод!$C$10-IF($J11=0,0,G11/$J11))/Ввод!$C$10)</f>
        <v>0.451571887064966</v>
      </c>
      <c r="R11" s="29" t="n">
        <f aca="false">IF(Ввод!$C$11=0,0,(Ввод!$C$11-IF($J11=0,0,H11/$J11))/Ввод!$C$11)</f>
        <v>0.622871385193493</v>
      </c>
      <c r="S11" s="29" t="n">
        <f aca="false">IF(Ввод!$C$12=0,0,(Ввод!$C$12-IF($J11=0,0,I11/$J11))/Ввод!$C$12)</f>
        <v>0.159935150031853</v>
      </c>
      <c r="T11" s="29"/>
      <c r="U11" s="29" t="n">
        <f aca="false">MIN(Ввод!$B$20,MAX(Ввод!$B$19,Ввод!$B$18+Ввод!$B$21*M11))</f>
        <v>0.175428186565497</v>
      </c>
      <c r="V11" s="29" t="n">
        <f aca="false">MIN(Ввод!$B$20,MAX(Ввод!$B$19,Ввод!$B$18+Ввод!$B$21*N11))</f>
        <v>0.211916461319941</v>
      </c>
      <c r="W11" s="29" t="n">
        <f aca="false">MIN(Ввод!$B$20,MAX(Ввод!$B$19,Ввод!$B$18+Ввод!$B$21*O11))</f>
        <v>0.223320493328954</v>
      </c>
      <c r="X11" s="29" t="n">
        <f aca="false">MIN(Ввод!$B$20,MAX(Ввод!$B$19,Ввод!$B$18+Ввод!$B$21*P11))</f>
        <v>0.222653172675017</v>
      </c>
      <c r="Y11" s="29" t="n">
        <f aca="false">MIN(Ввод!$B$20,MAX(Ввод!$B$19,Ввод!$B$18+Ввод!$B$21*Q11))</f>
        <v>0.245157188706497</v>
      </c>
      <c r="Z11" s="29" t="n">
        <f aca="false">MIN(Ввод!$B$20,MAX(Ввод!$B$19,Ввод!$B$18+Ввод!$B$21*R11))</f>
        <v>0.262287138519349</v>
      </c>
      <c r="AA11" s="29" t="n">
        <f aca="false">MIN(Ввод!$B$20,MAX(Ввод!$B$19,Ввод!$B$18+Ввод!$B$21*S11))</f>
        <v>0.215993515003185</v>
      </c>
      <c r="AB11" s="29"/>
      <c r="AC11" s="29" t="n">
        <f aca="false">MIN(Ввод!$B$20,MAX(Ввод!$B$19,Ввод!$B$18-Ввод!$B$21*M11))</f>
        <v>0.224571813434503</v>
      </c>
      <c r="AD11" s="29" t="n">
        <f aca="false">MIN(Ввод!$B$20,MAX(Ввод!$B$19,Ввод!$B$18-Ввод!$B$21*N11))</f>
        <v>0.188083538680059</v>
      </c>
      <c r="AE11" s="29" t="n">
        <f aca="false">MIN(Ввод!$B$20,MAX(Ввод!$B$19,Ввод!$B$18-Ввод!$B$21*O11))</f>
        <v>0.176679506671046</v>
      </c>
      <c r="AF11" s="29" t="n">
        <f aca="false">MIN(Ввод!$B$20,MAX(Ввод!$B$19,Ввод!$B$18-Ввод!$B$21*P11))</f>
        <v>0.177346827324983</v>
      </c>
      <c r="AG11" s="29" t="n">
        <f aca="false">MIN(Ввод!$B$20,MAX(Ввод!$B$19,Ввод!$B$18-Ввод!$B$21*Q11))</f>
        <v>0.154842811293503</v>
      </c>
      <c r="AH11" s="29" t="n">
        <f aca="false">MIN(Ввод!$B$20,MAX(Ввод!$B$19,Ввод!$B$18-Ввод!$B$21*R11))</f>
        <v>0.137712861480651</v>
      </c>
      <c r="AI11" s="29" t="n">
        <f aca="false">IF(I11&lt;Ввод!$B$22,0,MIN(Ввод!$B$20,MAX(Ввод!$B$19,Ввод!$B$18-Ввод!$B$21*S11)))</f>
        <v>0</v>
      </c>
    </row>
    <row r="12" customFormat="false" ht="15" hidden="false" customHeight="false" outlineLevel="0" collapsed="false">
      <c r="A12" s="19" t="n">
        <v>8</v>
      </c>
      <c r="B12" s="19" t="n">
        <f aca="false">(B11-B11*U11+C11*AC11)*(1-Ввод!$B$24)+Ввод!$B$23*Ввод!$D$5</f>
        <v>96.5732520328759</v>
      </c>
      <c r="C12" s="19" t="n">
        <f aca="false">(C11-C11*V11-C11*AC11+B11*U11+D11*AD11)*(1-Ввод!$B$24)+Ввод!$B$23*Ввод!$D$6</f>
        <v>68.4115443266605</v>
      </c>
      <c r="D12" s="19" t="n">
        <f aca="false">(D11-D11*W11-D11*AD11+C11*V11+E11*AE11)*(1-Ввод!$B$24)+Ввод!$B$23*Ввод!$D$7</f>
        <v>64.0176998079011</v>
      </c>
      <c r="E12" s="19" t="n">
        <f aca="false">(E11-E11*X11-E11*AE11+D11*W11+F11*AF11)*(1-Ввод!$B$24)+Ввод!$B$23*Ввод!$D$8</f>
        <v>55.7002736422842</v>
      </c>
      <c r="F12" s="19" t="n">
        <f aca="false">(F11-F11*Y11-F11*AF11+E11*X11+G11*AG11)*(1-Ввод!$B$24)+Ввод!$B$23*Ввод!$D$9</f>
        <v>42.2592663345965</v>
      </c>
      <c r="G12" s="19" t="n">
        <f aca="false">(G11-G11*Z11-G11*AG11+F11*Y11+H11*AH11)*(1-Ввод!$B$24)+Ввод!$B$23*Ввод!$D$10</f>
        <v>20.3043796969403</v>
      </c>
      <c r="H12" s="19" t="n">
        <f aca="false">(H11-H11*AA11-H11*AH11+G11*Z11+I11*AI11)*(1-Ввод!$B$24)+Ввод!$B$23*Ввод!$D$11</f>
        <v>9.96945686713043</v>
      </c>
      <c r="I12" s="19" t="n">
        <f aca="false">(I11-I11*AI11+H11*AA11)*(1-Ввод!$B$24)+Ввод!$B$23*Ввод!$D$12</f>
        <v>9.79758909161126</v>
      </c>
      <c r="J12" s="19" t="n">
        <f aca="false">SUM(B12:I12)</f>
        <v>367.0334618</v>
      </c>
      <c r="K12" s="20"/>
      <c r="L12" s="29" t="n">
        <f aca="false">IF(Ввод!$C$5=0,0,(Ввод!$C$5-IF($J12=0,0,B12/$J12))/Ввод!$C$5)</f>
        <v>-1.63118385880303</v>
      </c>
      <c r="M12" s="29" t="n">
        <f aca="false">IF(Ввод!$C$6=0,0,(Ввод!$C$6-IF($J12=0,0,C12/$J12))/Ввод!$C$6)</f>
        <v>-0.242603221899853</v>
      </c>
      <c r="N12" s="29" t="n">
        <f aca="false">IF(Ввод!$C$7=0,0,(Ввод!$C$7-IF($J12=0,0,D12/$J12))/Ввод!$C$7)</f>
        <v>0.127903768038663</v>
      </c>
      <c r="O12" s="29" t="n">
        <f aca="false">IF(Ввод!$C$8=0,0,(Ввод!$C$8-IF($J12=0,0,E12/$J12))/Ввод!$C$8)</f>
        <v>0.24120986995137</v>
      </c>
      <c r="P12" s="29" t="n">
        <f aca="false">IF(Ввод!$C$9=0,0,(Ввод!$C$9-IF($J12=0,0,F12/$J12))/Ввод!$C$9)</f>
        <v>0.232417554385928</v>
      </c>
      <c r="Q12" s="29" t="n">
        <f aca="false">IF(Ввод!$C$10=0,0,(Ввод!$C$10-IF($J12=0,0,G12/$J12))/Ввод!$C$10)</f>
        <v>0.446797586319137</v>
      </c>
      <c r="R12" s="29" t="n">
        <f aca="false">IF(Ввод!$C$11=0,0,(Ввод!$C$11-IF($J12=0,0,H12/$J12))/Ввод!$C$11)</f>
        <v>0.611967770760956</v>
      </c>
      <c r="S12" s="29" t="n">
        <f aca="false">IF(Ввод!$C$12=0,0,(Ввод!$C$12-IF($J12=0,0,I12/$J12))/Ввод!$C$12)</f>
        <v>0.11020019414015</v>
      </c>
      <c r="T12" s="29"/>
      <c r="U12" s="29" t="n">
        <f aca="false">MIN(Ввод!$B$20,MAX(Ввод!$B$19,Ввод!$B$18+Ввод!$B$21*M12))</f>
        <v>0.175739677810015</v>
      </c>
      <c r="V12" s="29" t="n">
        <f aca="false">MIN(Ввод!$B$20,MAX(Ввод!$B$19,Ввод!$B$18+Ввод!$B$21*N12))</f>
        <v>0.212790376803866</v>
      </c>
      <c r="W12" s="29" t="n">
        <f aca="false">MIN(Ввод!$B$20,MAX(Ввод!$B$19,Ввод!$B$18+Ввод!$B$21*O12))</f>
        <v>0.224120986995137</v>
      </c>
      <c r="X12" s="29" t="n">
        <f aca="false">MIN(Ввод!$B$20,MAX(Ввод!$B$19,Ввод!$B$18+Ввод!$B$21*P12))</f>
        <v>0.223241755438593</v>
      </c>
      <c r="Y12" s="29" t="n">
        <f aca="false">MIN(Ввод!$B$20,MAX(Ввод!$B$19,Ввод!$B$18+Ввод!$B$21*Q12))</f>
        <v>0.244679758631914</v>
      </c>
      <c r="Z12" s="29" t="n">
        <f aca="false">MIN(Ввод!$B$20,MAX(Ввод!$B$19,Ввод!$B$18+Ввод!$B$21*R12))</f>
        <v>0.261196777076096</v>
      </c>
      <c r="AA12" s="29" t="n">
        <f aca="false">MIN(Ввод!$B$20,MAX(Ввод!$B$19,Ввод!$B$18+Ввод!$B$21*S12))</f>
        <v>0.211020019414015</v>
      </c>
      <c r="AB12" s="29"/>
      <c r="AC12" s="29" t="n">
        <f aca="false">MIN(Ввод!$B$20,MAX(Ввод!$B$19,Ввод!$B$18-Ввод!$B$21*M12))</f>
        <v>0.224260322189985</v>
      </c>
      <c r="AD12" s="29" t="n">
        <f aca="false">MIN(Ввод!$B$20,MAX(Ввод!$B$19,Ввод!$B$18-Ввод!$B$21*N12))</f>
        <v>0.187209623196134</v>
      </c>
      <c r="AE12" s="29" t="n">
        <f aca="false">MIN(Ввод!$B$20,MAX(Ввод!$B$19,Ввод!$B$18-Ввод!$B$21*O12))</f>
        <v>0.175879013004863</v>
      </c>
      <c r="AF12" s="29" t="n">
        <f aca="false">MIN(Ввод!$B$20,MAX(Ввод!$B$19,Ввод!$B$18-Ввод!$B$21*P12))</f>
        <v>0.176758244561407</v>
      </c>
      <c r="AG12" s="29" t="n">
        <f aca="false">MIN(Ввод!$B$20,MAX(Ввод!$B$19,Ввод!$B$18-Ввод!$B$21*Q12))</f>
        <v>0.155320241368086</v>
      </c>
      <c r="AH12" s="29" t="n">
        <f aca="false">MIN(Ввод!$B$20,MAX(Ввод!$B$19,Ввод!$B$18-Ввод!$B$21*R12))</f>
        <v>0.138803222923904</v>
      </c>
      <c r="AI12" s="29" t="n">
        <f aca="false">IF(I12&lt;Ввод!$B$22,0,MIN(Ввод!$B$20,MAX(Ввод!$B$19,Ввод!$B$18-Ввод!$B$21*S12)))</f>
        <v>0</v>
      </c>
    </row>
    <row r="13" customFormat="false" ht="15" hidden="false" customHeight="false" outlineLevel="0" collapsed="false">
      <c r="A13" s="19" t="n">
        <v>9</v>
      </c>
      <c r="B13" s="19" t="n">
        <f aca="false">(B12-B12*U12+C12*AC12)*(1-Ввод!$B$24)+Ввод!$B$23*Ввод!$D$5</f>
        <v>100.449145326988</v>
      </c>
      <c r="C13" s="19" t="n">
        <f aca="false">(C12-C12*V12-C12*AC12+B12*U12+D12*AD12)*(1-Ввод!$B$24)+Ввод!$B$23*Ввод!$D$6</f>
        <v>70.7218414441192</v>
      </c>
      <c r="D13" s="19" t="n">
        <f aca="false">(D12-D12*W12-D12*AD12+C12*V12+E12*AE12)*(1-Ввод!$B$24)+Ввод!$B$23*Ввод!$D$7</f>
        <v>65.8351789571672</v>
      </c>
      <c r="E13" s="19" t="n">
        <f aca="false">(E12-E12*X12-E12*AE12+D12*W12+F12*AF12)*(1-Ввод!$B$24)+Ввод!$B$23*Ввод!$D$8</f>
        <v>57.2578692811737</v>
      </c>
      <c r="F13" s="19" t="n">
        <f aca="false">(F12-F12*Y12-F12*AF12+E12*X12+G12*AG12)*(1-Ввод!$B$24)+Ввод!$B$23*Ввод!$D$9</f>
        <v>43.5341221822209</v>
      </c>
      <c r="G13" s="19" t="n">
        <f aca="false">(G12-G12*Z12-G12*AG12+F12*Y12+H12*AH12)*(1-Ввод!$B$24)+Ввод!$B$23*Ввод!$D$10</f>
        <v>21.2139358513934</v>
      </c>
      <c r="H13" s="19" t="n">
        <f aca="false">(H12-H12*AA12-H12*AH12+G12*Z12+I12*AI12)*(1-Ввод!$B$24)+Ввод!$B$23*Ввод!$D$11</f>
        <v>10.6068129110036</v>
      </c>
      <c r="I13" s="19" t="n">
        <f aca="false">(I12-I12*AI12+H12*AA12)*(1-Ввод!$B$24)+Ввод!$B$23*Ввод!$D$12</f>
        <v>10.7112096659343</v>
      </c>
      <c r="J13" s="19" t="n">
        <f aca="false">SUM(B13:I13)</f>
        <v>380.33011562</v>
      </c>
      <c r="K13" s="20"/>
      <c r="L13" s="29" t="n">
        <f aca="false">IF(Ввод!$C$5=0,0,(Ввод!$C$5-IF($J13=0,0,B13/$J13))/Ввод!$C$5)</f>
        <v>-1.64110416718485</v>
      </c>
      <c r="M13" s="29" t="n">
        <f aca="false">IF(Ввод!$C$6=0,0,(Ввод!$C$6-IF($J13=0,0,C13/$J13))/Ввод!$C$6)</f>
        <v>-0.239657138883696</v>
      </c>
      <c r="N13" s="29" t="n">
        <f aca="false">IF(Ввод!$C$7=0,0,(Ввод!$C$7-IF($J13=0,0,D13/$J13))/Ввод!$C$7)</f>
        <v>0.134499527471745</v>
      </c>
      <c r="O13" s="29" t="n">
        <f aca="false">IF(Ввод!$C$8=0,0,(Ввод!$C$8-IF($J13=0,0,E13/$J13))/Ввод!$C$8)</f>
        <v>0.247260906649029</v>
      </c>
      <c r="P13" s="29" t="n">
        <f aca="false">IF(Ввод!$C$9=0,0,(Ввод!$C$9-IF($J13=0,0,F13/$J13))/Ввод!$C$9)</f>
        <v>0.236906389225351</v>
      </c>
      <c r="Q13" s="29" t="n">
        <f aca="false">IF(Ввод!$C$10=0,0,(Ввод!$C$10-IF($J13=0,0,G13/$J13))/Ввод!$C$10)</f>
        <v>0.442223085152981</v>
      </c>
      <c r="R13" s="29" t="n">
        <f aca="false">IF(Ввод!$C$11=0,0,(Ввод!$C$11-IF($J13=0,0,H13/$J13))/Ввод!$C$11)</f>
        <v>0.601593740528247</v>
      </c>
      <c r="S13" s="29" t="n">
        <f aca="false">IF(Ввод!$C$12=0,0,(Ввод!$C$12-IF($J13=0,0,I13/$J13))/Ввод!$C$12)</f>
        <v>0.0612357330268855</v>
      </c>
      <c r="T13" s="29"/>
      <c r="U13" s="29" t="n">
        <f aca="false">MIN(Ввод!$B$20,MAX(Ввод!$B$19,Ввод!$B$18+Ввод!$B$21*M13))</f>
        <v>0.17603428611163</v>
      </c>
      <c r="V13" s="29" t="n">
        <f aca="false">MIN(Ввод!$B$20,MAX(Ввод!$B$19,Ввод!$B$18+Ввод!$B$21*N13))</f>
        <v>0.213449952747175</v>
      </c>
      <c r="W13" s="29" t="n">
        <f aca="false">MIN(Ввод!$B$20,MAX(Ввод!$B$19,Ввод!$B$18+Ввод!$B$21*O13))</f>
        <v>0.224726090664903</v>
      </c>
      <c r="X13" s="29" t="n">
        <f aca="false">MIN(Ввод!$B$20,MAX(Ввод!$B$19,Ввод!$B$18+Ввод!$B$21*P13))</f>
        <v>0.223690638922535</v>
      </c>
      <c r="Y13" s="29" t="n">
        <f aca="false">MIN(Ввод!$B$20,MAX(Ввод!$B$19,Ввод!$B$18+Ввод!$B$21*Q13))</f>
        <v>0.244222308515298</v>
      </c>
      <c r="Z13" s="29" t="n">
        <f aca="false">MIN(Ввод!$B$20,MAX(Ввод!$B$19,Ввод!$B$18+Ввод!$B$21*R13))</f>
        <v>0.260159374052825</v>
      </c>
      <c r="AA13" s="29" t="n">
        <f aca="false">MIN(Ввод!$B$20,MAX(Ввод!$B$19,Ввод!$B$18+Ввод!$B$21*S13))</f>
        <v>0.206123573302689</v>
      </c>
      <c r="AB13" s="29"/>
      <c r="AC13" s="29" t="n">
        <f aca="false">MIN(Ввод!$B$20,MAX(Ввод!$B$19,Ввод!$B$18-Ввод!$B$21*M13))</f>
        <v>0.22396571388837</v>
      </c>
      <c r="AD13" s="29" t="n">
        <f aca="false">MIN(Ввод!$B$20,MAX(Ввод!$B$19,Ввод!$B$18-Ввод!$B$21*N13))</f>
        <v>0.186550047252825</v>
      </c>
      <c r="AE13" s="29" t="n">
        <f aca="false">MIN(Ввод!$B$20,MAX(Ввод!$B$19,Ввод!$B$18-Ввод!$B$21*O13))</f>
        <v>0.175273909335097</v>
      </c>
      <c r="AF13" s="29" t="n">
        <f aca="false">MIN(Ввод!$B$20,MAX(Ввод!$B$19,Ввод!$B$18-Ввод!$B$21*P13))</f>
        <v>0.176309361077465</v>
      </c>
      <c r="AG13" s="29" t="n">
        <f aca="false">MIN(Ввод!$B$20,MAX(Ввод!$B$19,Ввод!$B$18-Ввод!$B$21*Q13))</f>
        <v>0.155777691484702</v>
      </c>
      <c r="AH13" s="29" t="n">
        <f aca="false">MIN(Ввод!$B$20,MAX(Ввод!$B$19,Ввод!$B$18-Ввод!$B$21*R13))</f>
        <v>0.139840625947175</v>
      </c>
      <c r="AI13" s="29" t="n">
        <f aca="false">IF(I13&lt;Ввод!$B$22,0,MIN(Ввод!$B$20,MAX(Ввод!$B$19,Ввод!$B$18-Ввод!$B$21*S13)))</f>
        <v>0</v>
      </c>
    </row>
    <row r="14" customFormat="false" ht="15" hidden="false" customHeight="false" outlineLevel="0" collapsed="false">
      <c r="A14" s="19" t="n">
        <v>10</v>
      </c>
      <c r="B14" s="19" t="n">
        <f aca="false">(B13-B13*U13+C13*AC13)*(1-Ввод!$B$24)+Ввод!$B$23*Ввод!$D$5</f>
        <v>103.745327500824</v>
      </c>
      <c r="C14" s="19" t="n">
        <f aca="false">(C13-C13*V13-C13*AC13+B13*U13+D13*AD13)*(1-Ввод!$B$24)+Ввод!$B$23*Ввод!$D$6</f>
        <v>72.7759444209976</v>
      </c>
      <c r="D14" s="19" t="n">
        <f aca="false">(D13-D13*W13-D13*AD13+C13*V13+E13*AE13)*(1-Ввод!$B$24)+Ввод!$B$23*Ввод!$D$7</f>
        <v>67.5011126080816</v>
      </c>
      <c r="E14" s="19" t="n">
        <f aca="false">(E13-E13*X13-E13*AE13+D13*W13+F13*AF13)*(1-Ввод!$B$24)+Ввод!$B$23*Ввод!$D$8</f>
        <v>58.6959284923498</v>
      </c>
      <c r="F14" s="19" t="n">
        <f aca="false">(F13-F13*Y13-F13*AF13+E13*X13+G13*AG13)*(1-Ввод!$B$24)+Ввод!$B$23*Ввод!$D$9</f>
        <v>44.7054171723836</v>
      </c>
      <c r="G14" s="19" t="n">
        <f aca="false">(G13-G13*Z13-G13*AG13+F13*Y13+H13*AH13)*(1-Ввод!$B$24)+Ввод!$B$23*Ввод!$D$10</f>
        <v>22.0549867201546</v>
      </c>
      <c r="H14" s="19" t="n">
        <f aca="false">(H13-H13*AA13-H13*AH13+G13*Z13+I13*AI13)*(1-Ввод!$B$24)+Ввод!$B$23*Ввод!$D$11</f>
        <v>11.2106156831554</v>
      </c>
      <c r="I14" s="19" t="n">
        <f aca="false">(I13-I13*AI13+H13*AA13)*(1-Ввод!$B$24)+Ввод!$B$23*Ввод!$D$12</f>
        <v>11.6077714600531</v>
      </c>
      <c r="J14" s="19" t="n">
        <f aca="false">SUM(B14:I14)</f>
        <v>392.297104058</v>
      </c>
      <c r="K14" s="20"/>
      <c r="L14" s="29" t="n">
        <f aca="false">IF(Ввод!$C$5=0,0,(Ввод!$C$5-IF($J14=0,0,B14/$J14))/Ввод!$C$5)</f>
        <v>-1.6445601159851</v>
      </c>
      <c r="M14" s="29" t="n">
        <f aca="false">IF(Ввод!$C$6=0,0,(Ввод!$C$6-IF($J14=0,0,C14/$J14))/Ввод!$C$6)</f>
        <v>-0.236748774813589</v>
      </c>
      <c r="N14" s="29" t="n">
        <f aca="false">IF(Ввод!$C$7=0,0,(Ввод!$C$7-IF($J14=0,0,D14/$J14))/Ввод!$C$7)</f>
        <v>0.139668482002078</v>
      </c>
      <c r="O14" s="29" t="n">
        <f aca="false">IF(Ввод!$C$8=0,0,(Ввод!$C$8-IF($J14=0,0,E14/$J14))/Ввод!$C$8)</f>
        <v>0.251894445750589</v>
      </c>
      <c r="P14" s="29" t="n">
        <f aca="false">IF(Ввод!$C$9=0,0,(Ввод!$C$9-IF($J14=0,0,F14/$J14))/Ввод!$C$9)</f>
        <v>0.240279595746153</v>
      </c>
      <c r="Q14" s="29" t="n">
        <f aca="false">IF(Ввод!$C$10=0,0,(Ввод!$C$10-IF($J14=0,0,G14/$J14))/Ввод!$C$10)</f>
        <v>0.437798890381463</v>
      </c>
      <c r="R14" s="29" t="n">
        <f aca="false">IF(Ввод!$C$11=0,0,(Ввод!$C$11-IF($J14=0,0,H14/$J14))/Ввод!$C$11)</f>
        <v>0.591759278975387</v>
      </c>
      <c r="S14" s="29" t="n">
        <f aca="false">IF(Ввод!$C$12=0,0,(Ввод!$C$12-IF($J14=0,0,I14/$J14))/Ввод!$C$12)</f>
        <v>0.0136921447222887</v>
      </c>
      <c r="T14" s="29"/>
      <c r="U14" s="29" t="n">
        <f aca="false">MIN(Ввод!$B$20,MAX(Ввод!$B$19,Ввод!$B$18+Ввод!$B$21*M14))</f>
        <v>0.176325122518641</v>
      </c>
      <c r="V14" s="29" t="n">
        <f aca="false">MIN(Ввод!$B$20,MAX(Ввод!$B$19,Ввод!$B$18+Ввод!$B$21*N14))</f>
        <v>0.213966848200208</v>
      </c>
      <c r="W14" s="29" t="n">
        <f aca="false">MIN(Ввод!$B$20,MAX(Ввод!$B$19,Ввод!$B$18+Ввод!$B$21*O14))</f>
        <v>0.225189444575059</v>
      </c>
      <c r="X14" s="29" t="n">
        <f aca="false">MIN(Ввод!$B$20,MAX(Ввод!$B$19,Ввод!$B$18+Ввод!$B$21*P14))</f>
        <v>0.224027959574615</v>
      </c>
      <c r="Y14" s="29" t="n">
        <f aca="false">MIN(Ввод!$B$20,MAX(Ввод!$B$19,Ввод!$B$18+Ввод!$B$21*Q14))</f>
        <v>0.243779889038146</v>
      </c>
      <c r="Z14" s="29" t="n">
        <f aca="false">MIN(Ввод!$B$20,MAX(Ввод!$B$19,Ввод!$B$18+Ввод!$B$21*R14))</f>
        <v>0.259175927897539</v>
      </c>
      <c r="AA14" s="29" t="n">
        <f aca="false">MIN(Ввод!$B$20,MAX(Ввод!$B$19,Ввод!$B$18+Ввод!$B$21*S14))</f>
        <v>0.201369214472229</v>
      </c>
      <c r="AB14" s="29"/>
      <c r="AC14" s="29" t="n">
        <f aca="false">MIN(Ввод!$B$20,MAX(Ввод!$B$19,Ввод!$B$18-Ввод!$B$21*M14))</f>
        <v>0.223674877481359</v>
      </c>
      <c r="AD14" s="29" t="n">
        <f aca="false">MIN(Ввод!$B$20,MAX(Ввод!$B$19,Ввод!$B$18-Ввод!$B$21*N14))</f>
        <v>0.186033151799792</v>
      </c>
      <c r="AE14" s="29" t="n">
        <f aca="false">MIN(Ввод!$B$20,MAX(Ввод!$B$19,Ввод!$B$18-Ввод!$B$21*O14))</f>
        <v>0.174810555424941</v>
      </c>
      <c r="AF14" s="29" t="n">
        <f aca="false">MIN(Ввод!$B$20,MAX(Ввод!$B$19,Ввод!$B$18-Ввод!$B$21*P14))</f>
        <v>0.175972040425385</v>
      </c>
      <c r="AG14" s="29" t="n">
        <f aca="false">MIN(Ввод!$B$20,MAX(Ввод!$B$19,Ввод!$B$18-Ввод!$B$21*Q14))</f>
        <v>0.156220110961854</v>
      </c>
      <c r="AH14" s="29" t="n">
        <f aca="false">MIN(Ввод!$B$20,MAX(Ввод!$B$19,Ввод!$B$18-Ввод!$B$21*R14))</f>
        <v>0.140824072102461</v>
      </c>
      <c r="AI14" s="29" t="n">
        <f aca="false">IF(I14&lt;Ввод!$B$22,0,MIN(Ввод!$B$20,MAX(Ввод!$B$19,Ввод!$B$18-Ввод!$B$21*S14)))</f>
        <v>0</v>
      </c>
    </row>
    <row r="15" customFormat="false" ht="15" hidden="false" customHeight="false" outlineLevel="0" collapsed="false">
      <c r="A15" s="19" t="n">
        <v>11</v>
      </c>
      <c r="B15" s="19" t="n">
        <f aca="false">(B14-B14*U14+C14*AC14)*(1-Ввод!$B$24)+Ввод!$B$23*Ввод!$D$5</f>
        <v>106.557513333416</v>
      </c>
      <c r="C15" s="19" t="n">
        <f aca="false">(C14-C14*V14-C14*AC14+B14*U14+D14*AD14)*(1-Ввод!$B$24)+Ввод!$B$23*Ввод!$D$6</f>
        <v>74.5988561445519</v>
      </c>
      <c r="D15" s="19" t="n">
        <f aca="false">(D14-D14*W14-D14*AD14+C14*V14+E14*AE14)*(1-Ввод!$B$24)+Ввод!$B$23*Ввод!$D$7</f>
        <v>69.0178934230118</v>
      </c>
      <c r="E15" s="19" t="n">
        <f aca="false">(E14-E14*X14-E14*AE14+D14*W14+F14*AF14)*(1-Ввод!$B$24)+Ввод!$B$23*Ввод!$D$8</f>
        <v>60.0178557632211</v>
      </c>
      <c r="F15" s="19" t="n">
        <f aca="false">(F14-F14*Y14-F14*AF14+E14*X14+G14*AG14)*(1-Ввод!$B$24)+Ввод!$B$23*Ввод!$D$9</f>
        <v>45.7816742624703</v>
      </c>
      <c r="G15" s="19" t="n">
        <f aca="false">(G14-G14*Z14-G14*AG14+F14*Y14+H14*AH14)*(1-Ввод!$B$24)+Ввод!$B$23*Ввод!$D$10</f>
        <v>22.8333949096241</v>
      </c>
      <c r="H15" s="19" t="n">
        <f aca="false">(H14-H14*AA14-H14*AH14+G14*Z14+I14*AI14)*(1-Ввод!$B$24)+Ввод!$B$23*Ввод!$D$11</f>
        <v>11.7814859153772</v>
      </c>
      <c r="I15" s="19" t="n">
        <f aca="false">(I14-I14*AI14+H14*AA14)*(1-Ввод!$B$24)+Ввод!$B$23*Ввод!$D$12</f>
        <v>12.4787199005281</v>
      </c>
      <c r="J15" s="19" t="n">
        <f aca="false">SUM(B15:I15)</f>
        <v>403.0673936522</v>
      </c>
      <c r="K15" s="20"/>
      <c r="L15" s="29" t="n">
        <f aca="false">IF(Ввод!$C$5=0,0,(Ввод!$C$5-IF($J15=0,0,B15/$J15))/Ввод!$C$5)</f>
        <v>-1.64366493076744</v>
      </c>
      <c r="M15" s="29" t="n">
        <f aca="false">IF(Ввод!$C$6=0,0,(Ввод!$C$6-IF($J15=0,0,C15/$J15))/Ввод!$C$6)</f>
        <v>-0.233852490830553</v>
      </c>
      <c r="N15" s="29" t="n">
        <f aca="false">IF(Ввод!$C$7=0,0,(Ввод!$C$7-IF($J15=0,0,D15/$J15))/Ввод!$C$7)</f>
        <v>0.143841768027432</v>
      </c>
      <c r="O15" s="29" t="n">
        <f aca="false">IF(Ввод!$C$8=0,0,(Ввод!$C$8-IF($J15=0,0,E15/$J15))/Ввод!$C$8)</f>
        <v>0.255486096017364</v>
      </c>
      <c r="P15" s="29" t="n">
        <f aca="false">IF(Ввод!$C$9=0,0,(Ввод!$C$9-IF($J15=0,0,F15/$J15))/Ввод!$C$9)</f>
        <v>0.242778834119331</v>
      </c>
      <c r="Q15" s="29" t="n">
        <f aca="false">IF(Ввод!$C$10=0,0,(Ввод!$C$10-IF($J15=0,0,G15/$J15))/Ввод!$C$10)</f>
        <v>0.433509252566168</v>
      </c>
      <c r="R15" s="29" t="n">
        <f aca="false">IF(Ввод!$C$11=0,0,(Ввод!$C$11-IF($J15=0,0,H15/$J15))/Ввод!$C$11)</f>
        <v>0.582434738460947</v>
      </c>
      <c r="S15" s="29" t="n">
        <f aca="false">IF(Ввод!$C$12=0,0,(Ввод!$C$12-IF($J15=0,0,I15/$J15))/Ввод!$C$12)</f>
        <v>-0.0319796058138277</v>
      </c>
      <c r="T15" s="29"/>
      <c r="U15" s="29" t="n">
        <f aca="false">MIN(Ввод!$B$20,MAX(Ввод!$B$19,Ввод!$B$18+Ввод!$B$21*M15))</f>
        <v>0.176614750916945</v>
      </c>
      <c r="V15" s="29" t="n">
        <f aca="false">MIN(Ввод!$B$20,MAX(Ввод!$B$19,Ввод!$B$18+Ввод!$B$21*N15))</f>
        <v>0.214384176802743</v>
      </c>
      <c r="W15" s="29" t="n">
        <f aca="false">MIN(Ввод!$B$20,MAX(Ввод!$B$19,Ввод!$B$18+Ввод!$B$21*O15))</f>
        <v>0.225548609601736</v>
      </c>
      <c r="X15" s="29" t="n">
        <f aca="false">MIN(Ввод!$B$20,MAX(Ввод!$B$19,Ввод!$B$18+Ввод!$B$21*P15))</f>
        <v>0.224277883411933</v>
      </c>
      <c r="Y15" s="29" t="n">
        <f aca="false">MIN(Ввод!$B$20,MAX(Ввод!$B$19,Ввод!$B$18+Ввод!$B$21*Q15))</f>
        <v>0.243350925256617</v>
      </c>
      <c r="Z15" s="29" t="n">
        <f aca="false">MIN(Ввод!$B$20,MAX(Ввод!$B$19,Ввод!$B$18+Ввод!$B$21*R15))</f>
        <v>0.258243473846095</v>
      </c>
      <c r="AA15" s="29" t="n">
        <f aca="false">MIN(Ввод!$B$20,MAX(Ввод!$B$19,Ввод!$B$18+Ввод!$B$21*S15))</f>
        <v>0.196802039418617</v>
      </c>
      <c r="AB15" s="29"/>
      <c r="AC15" s="29" t="n">
        <f aca="false">MIN(Ввод!$B$20,MAX(Ввод!$B$19,Ввод!$B$18-Ввод!$B$21*M15))</f>
        <v>0.223385249083055</v>
      </c>
      <c r="AD15" s="29" t="n">
        <f aca="false">MIN(Ввод!$B$20,MAX(Ввод!$B$19,Ввод!$B$18-Ввод!$B$21*N15))</f>
        <v>0.185615823197257</v>
      </c>
      <c r="AE15" s="29" t="n">
        <f aca="false">MIN(Ввод!$B$20,MAX(Ввод!$B$19,Ввод!$B$18-Ввод!$B$21*O15))</f>
        <v>0.174451390398264</v>
      </c>
      <c r="AF15" s="29" t="n">
        <f aca="false">MIN(Ввод!$B$20,MAX(Ввод!$B$19,Ввод!$B$18-Ввод!$B$21*P15))</f>
        <v>0.175722116588067</v>
      </c>
      <c r="AG15" s="29" t="n">
        <f aca="false">MIN(Ввод!$B$20,MAX(Ввод!$B$19,Ввод!$B$18-Ввод!$B$21*Q15))</f>
        <v>0.156649074743383</v>
      </c>
      <c r="AH15" s="29" t="n">
        <f aca="false">MIN(Ввод!$B$20,MAX(Ввод!$B$19,Ввод!$B$18-Ввод!$B$21*R15))</f>
        <v>0.141756526153905</v>
      </c>
      <c r="AI15" s="29" t="n">
        <f aca="false">IF(I15&lt;Ввод!$B$22,0,MIN(Ввод!$B$20,MAX(Ввод!$B$19,Ввод!$B$18-Ввод!$B$21*S15)))</f>
        <v>0</v>
      </c>
    </row>
    <row r="16" customFormat="false" ht="15" hidden="false" customHeight="false" outlineLevel="0" collapsed="false">
      <c r="A16" s="19" t="n">
        <v>12</v>
      </c>
      <c r="B16" s="19" t="n">
        <f aca="false">(B15-B15*U15+C15*AC15)*(1-Ввод!$B$24)+Ввод!$B$23*Ввод!$D$5</f>
        <v>108.96195184698</v>
      </c>
      <c r="C16" s="19" t="n">
        <f aca="false">(C15-C15*V15-C15*AC15+B15*U15+D15*AD15)*(1-Ввод!$B$24)+Ввод!$B$23*Ввод!$D$6</f>
        <v>76.2149795474595</v>
      </c>
      <c r="D16" s="19" t="n">
        <f aca="false">(D15-D15*W15-D15*AD15+C15*V15+E15*AE15)*(1-Ввод!$B$24)+Ввод!$B$23*Ввод!$D$7</f>
        <v>70.3928828551152</v>
      </c>
      <c r="E16" s="19" t="n">
        <f aca="false">(E15-E15*X15-E15*AE15+D15*W15+F15*AF15)*(1-Ввод!$B$24)+Ввод!$B$23*Ввод!$D$8</f>
        <v>61.2288500885892</v>
      </c>
      <c r="F16" s="19" t="n">
        <f aca="false">(F15-F15*Y15-F15*AF15+E15*X15+G15*AG15)*(1-Ввод!$B$24)+Ввод!$B$23*Ввод!$D$9</f>
        <v>46.7699849507057</v>
      </c>
      <c r="G16" s="19" t="n">
        <f aca="false">(G15-G15*Z15-G15*AG15+F15*Y15+H15*AH15)*(1-Ввод!$B$24)+Ввод!$B$23*Ввод!$D$10</f>
        <v>23.5539943294359</v>
      </c>
      <c r="H16" s="19" t="n">
        <f aca="false">(H15-H15*AA15-H15*AH15+G15*Z15+I15*AI15)*(1-Ввод!$B$24)+Ввод!$B$23*Ввод!$D$11</f>
        <v>12.3204043482438</v>
      </c>
      <c r="I16" s="19" t="n">
        <f aca="false">(I15-I15*AI15+H15*AA15)*(1-Ввод!$B$24)+Ввод!$B$23*Ввод!$D$12</f>
        <v>13.3176063204505</v>
      </c>
      <c r="J16" s="19" t="n">
        <f aca="false">SUM(B16:I16)</f>
        <v>412.76065428698</v>
      </c>
      <c r="K16" s="20"/>
      <c r="L16" s="29" t="n">
        <f aca="false">IF(Ввод!$C$5=0,0,(Ввод!$C$5-IF($J16=0,0,B16/$J16))/Ввод!$C$5)</f>
        <v>-1.6398337805527</v>
      </c>
      <c r="M16" s="29" t="n">
        <f aca="false">IF(Ввод!$C$6=0,0,(Ввод!$C$6-IF($J16=0,0,C16/$J16))/Ввод!$C$6)</f>
        <v>-0.230979402645446</v>
      </c>
      <c r="N16" s="29" t="n">
        <f aca="false">IF(Ввод!$C$7=0,0,(Ввод!$C$7-IF($J16=0,0,D16/$J16))/Ввод!$C$7)</f>
        <v>0.147291752205467</v>
      </c>
      <c r="O16" s="29" t="n">
        <f aca="false">IF(Ввод!$C$8=0,0,(Ввод!$C$8-IF($J16=0,0,E16/$J16))/Ввод!$C$8)</f>
        <v>0.258300791843175</v>
      </c>
      <c r="P16" s="29" t="n">
        <f aca="false">IF(Ввод!$C$9=0,0,(Ввод!$C$9-IF($J16=0,0,F16/$J16))/Ввод!$C$9)</f>
        <v>0.244598785196745</v>
      </c>
      <c r="Q16" s="29" t="n">
        <f aca="false">IF(Ввод!$C$10=0,0,(Ввод!$C$10-IF($J16=0,0,G16/$J16))/Ввод!$C$10)</f>
        <v>0.429354661477507</v>
      </c>
      <c r="R16" s="29" t="n">
        <f aca="false">IF(Ввод!$C$11=0,0,(Ввод!$C$11-IF($J16=0,0,H16/$J16))/Ввод!$C$11)</f>
        <v>0.573588774570769</v>
      </c>
      <c r="S16" s="29" t="n">
        <f aca="false">IF(Ввод!$C$12=0,0,(Ввод!$C$12-IF($J16=0,0,I16/$J16))/Ввод!$C$12)</f>
        <v>-0.0754906168286038</v>
      </c>
      <c r="T16" s="29"/>
      <c r="U16" s="29" t="n">
        <f aca="false">MIN(Ввод!$B$20,MAX(Ввод!$B$19,Ввод!$B$18+Ввод!$B$21*M16))</f>
        <v>0.176902059735455</v>
      </c>
      <c r="V16" s="29" t="n">
        <f aca="false">MIN(Ввод!$B$20,MAX(Ввод!$B$19,Ввод!$B$18+Ввод!$B$21*N16))</f>
        <v>0.214729175220547</v>
      </c>
      <c r="W16" s="29" t="n">
        <f aca="false">MIN(Ввод!$B$20,MAX(Ввод!$B$19,Ввод!$B$18+Ввод!$B$21*O16))</f>
        <v>0.225830079184318</v>
      </c>
      <c r="X16" s="29" t="n">
        <f aca="false">MIN(Ввод!$B$20,MAX(Ввод!$B$19,Ввод!$B$18+Ввод!$B$21*P16))</f>
        <v>0.224459878519675</v>
      </c>
      <c r="Y16" s="29" t="n">
        <f aca="false">MIN(Ввод!$B$20,MAX(Ввод!$B$19,Ввод!$B$18+Ввод!$B$21*Q16))</f>
        <v>0.242935466147751</v>
      </c>
      <c r="Z16" s="29" t="n">
        <f aca="false">MIN(Ввод!$B$20,MAX(Ввод!$B$19,Ввод!$B$18+Ввод!$B$21*R16))</f>
        <v>0.257358877457077</v>
      </c>
      <c r="AA16" s="29" t="n">
        <f aca="false">MIN(Ввод!$B$20,MAX(Ввод!$B$19,Ввод!$B$18+Ввод!$B$21*S16))</f>
        <v>0.19245093831714</v>
      </c>
      <c r="AB16" s="29"/>
      <c r="AC16" s="29" t="n">
        <f aca="false">MIN(Ввод!$B$20,MAX(Ввод!$B$19,Ввод!$B$18-Ввод!$B$21*M16))</f>
        <v>0.223097940264545</v>
      </c>
      <c r="AD16" s="29" t="n">
        <f aca="false">MIN(Ввод!$B$20,MAX(Ввод!$B$19,Ввод!$B$18-Ввод!$B$21*N16))</f>
        <v>0.185270824779453</v>
      </c>
      <c r="AE16" s="29" t="n">
        <f aca="false">MIN(Ввод!$B$20,MAX(Ввод!$B$19,Ввод!$B$18-Ввод!$B$21*O16))</f>
        <v>0.174169920815682</v>
      </c>
      <c r="AF16" s="29" t="n">
        <f aca="false">MIN(Ввод!$B$20,MAX(Ввод!$B$19,Ввод!$B$18-Ввод!$B$21*P16))</f>
        <v>0.175540121480326</v>
      </c>
      <c r="AG16" s="29" t="n">
        <f aca="false">MIN(Ввод!$B$20,MAX(Ввод!$B$19,Ввод!$B$18-Ввод!$B$21*Q16))</f>
        <v>0.157064533852249</v>
      </c>
      <c r="AH16" s="29" t="n">
        <f aca="false">MIN(Ввод!$B$20,MAX(Ввод!$B$19,Ввод!$B$18-Ввод!$B$21*R16))</f>
        <v>0.142641122542923</v>
      </c>
      <c r="AI16" s="29" t="n">
        <f aca="false">IF(I16&lt;Ввод!$B$22,0,MIN(Ввод!$B$20,MAX(Ввод!$B$19,Ввод!$B$18-Ввод!$B$21*S16)))</f>
        <v>0</v>
      </c>
    </row>
    <row r="19" customFormat="false" ht="15" hidden="false" customHeight="false" outlineLevel="0" collapsed="false">
      <c r="A19" s="7" t="s">
        <v>87</v>
      </c>
    </row>
    <row r="20" customFormat="false" ht="15" hidden="false" customHeight="false" outlineLevel="0" collapsed="false">
      <c r="A20" s="30" t="s">
        <v>3</v>
      </c>
      <c r="B20" s="30" t="s">
        <v>88</v>
      </c>
      <c r="C20" s="30" t="s">
        <v>89</v>
      </c>
      <c r="D20" s="30" t="s">
        <v>37</v>
      </c>
      <c r="E20" s="30" t="s">
        <v>90</v>
      </c>
    </row>
    <row r="21" customFormat="false" ht="15" hidden="false" customHeight="false" outlineLevel="0" collapsed="false">
      <c r="A21" s="4" t="s">
        <v>7</v>
      </c>
      <c r="B21" s="19" t="n">
        <f aca="false">B16</f>
        <v>108.96195184698</v>
      </c>
      <c r="C21" s="15" t="n">
        <f aca="false">IF($J$16=0,0,B21/$J$16)</f>
        <v>0.26398337805527</v>
      </c>
      <c r="D21" s="20" t="n">
        <f aca="false">Ввод!C5</f>
        <v>0.1</v>
      </c>
      <c r="E21" s="31" t="n">
        <f aca="false">C21-D21</f>
        <v>0.16398337805527</v>
      </c>
    </row>
    <row r="22" customFormat="false" ht="15" hidden="false" customHeight="false" outlineLevel="0" collapsed="false">
      <c r="A22" s="4" t="s">
        <v>8</v>
      </c>
      <c r="B22" s="19" t="n">
        <f aca="false">C16</f>
        <v>76.2149795474595</v>
      </c>
      <c r="C22" s="15" t="n">
        <f aca="false">IF($J$16=0,0,B22/$J$16)</f>
        <v>0.184646910396817</v>
      </c>
      <c r="D22" s="20" t="n">
        <f aca="false">Ввод!C6</f>
        <v>0.15</v>
      </c>
      <c r="E22" s="31" t="n">
        <f aca="false">C22-D22</f>
        <v>0.0346469103968169</v>
      </c>
    </row>
    <row r="23" customFormat="false" ht="15" hidden="false" customHeight="false" outlineLevel="0" collapsed="false">
      <c r="A23" s="4" t="s">
        <v>9</v>
      </c>
      <c r="B23" s="19" t="n">
        <f aca="false">D16</f>
        <v>70.3928828551152</v>
      </c>
      <c r="C23" s="15" t="n">
        <f aca="false">IF($J$16=0,0,B23/$J$16)</f>
        <v>0.170541649558907</v>
      </c>
      <c r="D23" s="20" t="n">
        <f aca="false">Ввод!C7</f>
        <v>0.2</v>
      </c>
      <c r="E23" s="31" t="n">
        <f aca="false">C23-D23</f>
        <v>-0.0294583504410934</v>
      </c>
    </row>
    <row r="24" customFormat="false" ht="15" hidden="false" customHeight="false" outlineLevel="0" collapsed="false">
      <c r="A24" s="4" t="s">
        <v>10</v>
      </c>
      <c r="B24" s="19" t="n">
        <f aca="false">E16</f>
        <v>61.2288500885892</v>
      </c>
      <c r="C24" s="15" t="n">
        <f aca="false">IF($J$16=0,0,B24/$J$16)</f>
        <v>0.148339841631365</v>
      </c>
      <c r="D24" s="20" t="n">
        <f aca="false">Ввод!C8</f>
        <v>0.2</v>
      </c>
      <c r="E24" s="31" t="n">
        <f aca="false">C24-D24</f>
        <v>-0.0516601583686351</v>
      </c>
    </row>
    <row r="25" customFormat="false" ht="15" hidden="false" customHeight="false" outlineLevel="0" collapsed="false">
      <c r="A25" s="4" t="s">
        <v>11</v>
      </c>
      <c r="B25" s="19" t="n">
        <f aca="false">F16</f>
        <v>46.7699849507057</v>
      </c>
      <c r="C25" s="15" t="n">
        <f aca="false">IF($J$16=0,0,B25/$J$16)</f>
        <v>0.113310182220488</v>
      </c>
      <c r="D25" s="20" t="n">
        <f aca="false">Ввод!C9</f>
        <v>0.15</v>
      </c>
      <c r="E25" s="31" t="n">
        <f aca="false">C25-D25</f>
        <v>-0.0366898177795118</v>
      </c>
    </row>
    <row r="26" customFormat="false" ht="15" hidden="false" customHeight="false" outlineLevel="0" collapsed="false">
      <c r="A26" s="4" t="s">
        <v>12</v>
      </c>
      <c r="B26" s="19" t="n">
        <f aca="false">G16</f>
        <v>23.5539943294359</v>
      </c>
      <c r="C26" s="15" t="n">
        <f aca="false">IF($J$16=0,0,B26/$J$16)</f>
        <v>0.0570645338522493</v>
      </c>
      <c r="D26" s="20" t="n">
        <f aca="false">Ввод!C10</f>
        <v>0.1</v>
      </c>
      <c r="E26" s="31" t="n">
        <f aca="false">C26-D26</f>
        <v>-0.0429354661477507</v>
      </c>
    </row>
    <row r="27" customFormat="false" ht="15" hidden="false" customHeight="false" outlineLevel="0" collapsed="false">
      <c r="A27" s="4" t="s">
        <v>13</v>
      </c>
      <c r="B27" s="19" t="n">
        <f aca="false">H16</f>
        <v>12.3204043482438</v>
      </c>
      <c r="C27" s="15" t="n">
        <f aca="false">IF($J$16=0,0,B27/$J$16)</f>
        <v>0.0298487857800461</v>
      </c>
      <c r="D27" s="20" t="n">
        <f aca="false">Ввод!C11</f>
        <v>0.07</v>
      </c>
      <c r="E27" s="31" t="n">
        <f aca="false">C27-D27</f>
        <v>-0.0401512142199539</v>
      </c>
    </row>
    <row r="28" customFormat="false" ht="15" hidden="false" customHeight="false" outlineLevel="0" collapsed="false">
      <c r="A28" s="4" t="s">
        <v>14</v>
      </c>
      <c r="B28" s="19" t="n">
        <f aca="false">I16</f>
        <v>13.3176063204505</v>
      </c>
      <c r="C28" s="15" t="n">
        <f aca="false">IF($J$16=0,0,B28/$J$16)</f>
        <v>0.0322647185048581</v>
      </c>
      <c r="D28" s="20" t="n">
        <f aca="false">Ввод!C12</f>
        <v>0.03</v>
      </c>
      <c r="E28" s="31" t="n">
        <f aca="false">C28-D28</f>
        <v>0.00226471850485811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2026-10-01T16:45:53Z</dcterms:created>
  <dc:creator>openpyxl</dc:creator>
  <dc:description/>
  <dc:language>en-US</dc:language>
  <cp:lastModifiedBy/>
  <dcterms:modified xsi:type="dcterms:W3CDTF">2026-10-01T19:45:57Z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